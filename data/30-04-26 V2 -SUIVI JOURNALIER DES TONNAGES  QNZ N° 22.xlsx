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NZ N°" sheetId="1" state="visible" r:id="rId3"/>
    <sheet name="SUIVI JOUR, TONNAGE QNZ N° 22" sheetId="2" state="visible" r:id="rId4"/>
  </sheets>
  <definedNames>
    <definedName function="false" hidden="true" localSheetId="1" name="_xlnm._FilterDatabase" vbProcedure="false">'SUIVI JOUR, TONNAGE QNZ N° 22'!$A$4:$AC$253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<sst xmlns="http://schemas.openxmlformats.org/spreadsheetml/2006/main" count="1645" uniqueCount="198">
  <si>
    <t xml:space="preserve">QNZ N°</t>
  </si>
  <si>
    <r>
      <rPr>
        <u val="single"/>
        <sz val="14"/>
        <color rgb="FF0000FF"/>
        <rFont val="Bahnschrift Light"/>
        <family val="2"/>
        <charset val="1"/>
      </rPr>
      <t xml:space="preserve">SUIVI JOURNALIER DES TONNAGES </t>
    </r>
    <r>
      <rPr>
        <u val="single"/>
        <sz val="14"/>
        <color rgb="FFC00000"/>
        <rFont val="Bahnschrift Light"/>
        <family val="2"/>
        <charset val="1"/>
      </rPr>
      <t xml:space="preserve">QNZ N° 22 Du: 16-04-26 Au: 30/04/26</t>
    </r>
  </si>
  <si>
    <t xml:space="preserve">NBRE DE JOUR</t>
  </si>
  <si>
    <t xml:space="preserve">GROUPE</t>
  </si>
  <si>
    <t xml:space="preserve">CLUBS</t>
  </si>
  <si>
    <t xml:space="preserve">CODE</t>
  </si>
  <si>
    <t xml:space="preserve">FERME</t>
  </si>
  <si>
    <t xml:space="preserve">VARIETE</t>
  </si>
  <si>
    <t xml:space="preserve">TYPE</t>
  </si>
  <si>
    <t xml:space="preserve">SERRE N°</t>
  </si>
  <si>
    <t xml:space="preserve">SUP</t>
  </si>
  <si>
    <t xml:space="preserve">PLANT°</t>
  </si>
  <si>
    <t xml:space="preserve">DATE  PLT°.</t>
  </si>
  <si>
    <r>
      <rPr>
        <sz val="14"/>
        <color rgb="FFFFFF00"/>
        <rFont val="Bahnschrift SemiLight SemiConde"/>
        <family val="2"/>
        <charset val="1"/>
      </rPr>
      <t xml:space="preserve">GLOBAL </t>
    </r>
    <r>
      <rPr>
        <sz val="14"/>
        <color theme="8" tint="-0.5"/>
        <rFont val="Bahnschrift SemiLight SemiConde"/>
        <family val="2"/>
        <charset val="1"/>
      </rPr>
      <t xml:space="preserve">1</t>
    </r>
  </si>
  <si>
    <r>
      <rPr>
        <sz val="14"/>
        <color rgb="FFFFFF00"/>
        <rFont val="Bahnschrift SemiLight SemiConde"/>
        <family val="2"/>
        <charset val="1"/>
      </rPr>
      <t xml:space="preserve">Ha </t>
    </r>
    <r>
      <rPr>
        <sz val="14"/>
        <color theme="8" tint="-0.5"/>
        <rFont val="Bahnschrift SemiLight SemiConde"/>
        <family val="2"/>
        <charset val="1"/>
      </rPr>
      <t xml:space="preserve">1</t>
    </r>
  </si>
  <si>
    <t xml:space="preserve">Ha/JOURS</t>
  </si>
  <si>
    <t xml:space="preserve">2-OUALLA</t>
  </si>
  <si>
    <t xml:space="preserve">CHTOUKA</t>
  </si>
  <si>
    <t xml:space="preserve">ADOUZ</t>
  </si>
  <si>
    <t xml:space="preserve">DORMAPLUM</t>
  </si>
  <si>
    <t xml:space="preserve">CERISE ALLONGE</t>
  </si>
  <si>
    <t xml:space="preserve">2+4</t>
  </si>
  <si>
    <t xml:space="preserve">HIVER 2026</t>
  </si>
  <si>
    <t xml:space="preserve">WINDSOR</t>
  </si>
  <si>
    <t xml:space="preserve">1+3</t>
  </si>
  <si>
    <t xml:space="preserve">17-ATMANE</t>
  </si>
  <si>
    <t xml:space="preserve">AMIRA</t>
  </si>
  <si>
    <t xml:space="preserve">AGLOU</t>
  </si>
  <si>
    <t xml:space="preserve">3+4</t>
  </si>
  <si>
    <t xml:space="preserve">4-SAID</t>
  </si>
  <si>
    <t xml:space="preserve">ADRAR</t>
  </si>
  <si>
    <t xml:space="preserve">IFERYAN</t>
  </si>
  <si>
    <t xml:space="preserve">INTUITIVO</t>
  </si>
  <si>
    <t xml:space="preserve">CERISE RONDE</t>
  </si>
  <si>
    <t xml:space="preserve">ÉTÉ 2025</t>
  </si>
  <si>
    <t xml:space="preserve">PARISETTO</t>
  </si>
  <si>
    <t xml:space="preserve">6+7</t>
  </si>
  <si>
    <t xml:space="preserve">AGLOU 2</t>
  </si>
  <si>
    <t xml:space="preserve">NEMETON</t>
  </si>
  <si>
    <t xml:space="preserve">ÉTÉ 2026</t>
  </si>
  <si>
    <t xml:space="preserve">8+9+10+11</t>
  </si>
  <si>
    <t xml:space="preserve">11-LAAROUSSI</t>
  </si>
  <si>
    <t xml:space="preserve">SOUSS</t>
  </si>
  <si>
    <t xml:space="preserve">AGOURAM</t>
  </si>
  <si>
    <t xml:space="preserve">1+2</t>
  </si>
  <si>
    <t xml:space="preserve">10-JERMONI</t>
  </si>
  <si>
    <t xml:space="preserve">AIT MIMOUN</t>
  </si>
  <si>
    <t xml:space="preserve">DURASOL</t>
  </si>
  <si>
    <t xml:space="preserve">TOMATE RONDE</t>
  </si>
  <si>
    <t xml:space="preserve">TOBRIVA</t>
  </si>
  <si>
    <t xml:space="preserve">1-TIBARI</t>
  </si>
  <si>
    <t xml:space="preserve">AL AMAL</t>
  </si>
  <si>
    <t xml:space="preserve">1+2+3+4</t>
  </si>
  <si>
    <t xml:space="preserve">ALHAMED</t>
  </si>
  <si>
    <t xml:space="preserve">INTUITIVO+</t>
  </si>
  <si>
    <t xml:space="preserve">14+15</t>
  </si>
  <si>
    <t xml:space="preserve">6-AZZEDDINE</t>
  </si>
  <si>
    <t xml:space="preserve">BIOGRA</t>
  </si>
  <si>
    <t xml:space="preserve">AMOUZ 1</t>
  </si>
  <si>
    <t xml:space="preserve">8+9</t>
  </si>
  <si>
    <t xml:space="preserve">3-CHTOUKA</t>
  </si>
  <si>
    <t xml:space="preserve">BAKHIR</t>
  </si>
  <si>
    <t xml:space="preserve">4+5+6</t>
  </si>
  <si>
    <t xml:space="preserve">7+8</t>
  </si>
  <si>
    <t xml:space="preserve">PAOLA</t>
  </si>
  <si>
    <t xml:space="preserve">8-GR-BOUANAS</t>
  </si>
  <si>
    <t xml:space="preserve">SIDI BIBI</t>
  </si>
  <si>
    <t xml:space="preserve">BOUANAS 1</t>
  </si>
  <si>
    <t xml:space="preserve">HELARI</t>
  </si>
  <si>
    <t xml:space="preserve">CONCOMBRE</t>
  </si>
  <si>
    <t xml:space="preserve">13-SARA</t>
  </si>
  <si>
    <t xml:space="preserve">D.SARA</t>
  </si>
  <si>
    <t xml:space="preserve">6+7+8</t>
  </si>
  <si>
    <t xml:space="preserve">D.SARA 2</t>
  </si>
  <si>
    <t xml:space="preserve">PASCUA</t>
  </si>
  <si>
    <t xml:space="preserve">5+6+7+8</t>
  </si>
  <si>
    <t xml:space="preserve">3+4+5</t>
  </si>
  <si>
    <t xml:space="preserve">15-AUTRES</t>
  </si>
  <si>
    <t xml:space="preserve">SALAM</t>
  </si>
  <si>
    <t xml:space="preserve">DRAID</t>
  </si>
  <si>
    <t xml:space="preserve">PENDRAGON+</t>
  </si>
  <si>
    <t xml:space="preserve">2+3</t>
  </si>
  <si>
    <t xml:space="preserve">EL JAIRA</t>
  </si>
  <si>
    <t xml:space="preserve">12-ABDERHMAN</t>
  </si>
  <si>
    <t xml:space="preserve">MASSA</t>
  </si>
  <si>
    <t xml:space="preserve">GRANADA 2</t>
  </si>
  <si>
    <t xml:space="preserve">TAYSON</t>
  </si>
  <si>
    <t xml:space="preserve">POIVRON</t>
  </si>
  <si>
    <t xml:space="preserve">11+12</t>
  </si>
  <si>
    <t xml:space="preserve">5+6</t>
  </si>
  <si>
    <t xml:space="preserve">CURIOSO+</t>
  </si>
  <si>
    <t xml:space="preserve">8+12</t>
  </si>
  <si>
    <t xml:space="preserve">INCHADEN</t>
  </si>
  <si>
    <t xml:space="preserve">NAKHIL</t>
  </si>
  <si>
    <t xml:space="preserve">SAHB</t>
  </si>
  <si>
    <t xml:space="preserve">CURIOSO</t>
  </si>
  <si>
    <t xml:space="preserve">7-BRAHIM</t>
  </si>
  <si>
    <t xml:space="preserve">SAMORA</t>
  </si>
  <si>
    <t xml:space="preserve">9+10</t>
  </si>
  <si>
    <t xml:space="preserve">SAFORA</t>
  </si>
  <si>
    <t xml:space="preserve">15+16</t>
  </si>
  <si>
    <t xml:space="preserve">16-LYOUNSSI</t>
  </si>
  <si>
    <t xml:space="preserve">AUTRE</t>
  </si>
  <si>
    <t xml:space="preserve">TAFLOUNT</t>
  </si>
  <si>
    <t xml:space="preserve">Plan champ</t>
  </si>
  <si>
    <t xml:space="preserve">9-GR-TAKAD</t>
  </si>
  <si>
    <t xml:space="preserve">TAKAD 1</t>
  </si>
  <si>
    <t xml:space="preserve">7+8+9</t>
  </si>
  <si>
    <t xml:space="preserve">AVRION</t>
  </si>
  <si>
    <t xml:space="preserve">TASSAOUT</t>
  </si>
  <si>
    <t xml:space="preserve">11+12+14</t>
  </si>
  <si>
    <t xml:space="preserve">TIFNIT</t>
  </si>
  <si>
    <t xml:space="preserve">VIRALINA</t>
  </si>
  <si>
    <t xml:space="preserve">SOLANGE</t>
  </si>
  <si>
    <t xml:space="preserve">DELYCA+</t>
  </si>
  <si>
    <t xml:space="preserve">6+5</t>
  </si>
  <si>
    <t xml:space="preserve">TIN MANSOR</t>
  </si>
  <si>
    <t xml:space="preserve">TOUGRIH</t>
  </si>
  <si>
    <t xml:space="preserve">1+2+3</t>
  </si>
  <si>
    <t xml:space="preserve">TOUJANA</t>
  </si>
  <si>
    <t xml:space="preserve">13+14</t>
  </si>
  <si>
    <t xml:space="preserve">10+11</t>
  </si>
  <si>
    <t xml:space="preserve">12+15</t>
  </si>
  <si>
    <t xml:space="preserve">GRANADA 1</t>
  </si>
  <si>
    <t xml:space="preserve">ALKHIR</t>
  </si>
  <si>
    <t xml:space="preserve">ASSAFA</t>
  </si>
  <si>
    <t xml:space="preserve">ZOHOUR</t>
  </si>
  <si>
    <t xml:space="preserve">NIGOBRID</t>
  </si>
  <si>
    <t xml:space="preserve">WINDSOR+</t>
  </si>
  <si>
    <t xml:space="preserve">4+5</t>
  </si>
  <si>
    <t xml:space="preserve">12+14+15</t>
  </si>
  <si>
    <t xml:space="preserve">DORMAPLUM+</t>
  </si>
  <si>
    <t xml:space="preserve">5-DRISS</t>
  </si>
  <si>
    <t xml:space="preserve">TINZAR</t>
  </si>
  <si>
    <t xml:space="preserve">7+10</t>
  </si>
  <si>
    <t xml:space="preserve">20+21</t>
  </si>
  <si>
    <t xml:space="preserve">HORTI</t>
  </si>
  <si>
    <t xml:space="preserve">BASTION</t>
  </si>
  <si>
    <t xml:space="preserve">CEDROS</t>
  </si>
  <si>
    <t xml:space="preserve">16+17</t>
  </si>
  <si>
    <t xml:space="preserve">AYRAD</t>
  </si>
  <si>
    <t xml:space="preserve">AGRIMANE</t>
  </si>
  <si>
    <t xml:space="preserve">16+17+18+19</t>
  </si>
  <si>
    <t xml:space="preserve">BOUANAS 3</t>
  </si>
  <si>
    <t xml:space="preserve">TAKAD 2</t>
  </si>
  <si>
    <t xml:space="preserve">AZOVIAN</t>
  </si>
  <si>
    <t xml:space="preserve">ROLDAN</t>
  </si>
  <si>
    <t xml:space="preserve">AMOUZ 2</t>
  </si>
  <si>
    <t xml:space="preserve">GIUBILO</t>
  </si>
  <si>
    <t xml:space="preserve">TOUFLIHT</t>
  </si>
  <si>
    <t xml:space="preserve">6+7+8+9</t>
  </si>
  <si>
    <t xml:space="preserve">COLINA</t>
  </si>
  <si>
    <t xml:space="preserve">ALKASSABA</t>
  </si>
  <si>
    <t xml:space="preserve">PATRIOT</t>
  </si>
  <si>
    <t xml:space="preserve">AWRIR</t>
  </si>
  <si>
    <t xml:space="preserve">14-SABRI</t>
  </si>
  <si>
    <t xml:space="preserve">SABRI</t>
  </si>
  <si>
    <t xml:space="preserve">BOUANAS 2</t>
  </si>
  <si>
    <t xml:space="preserve">BOUANAS 4</t>
  </si>
  <si>
    <t xml:space="preserve">PRINCESSA</t>
  </si>
  <si>
    <t xml:space="preserve">1+2+5</t>
  </si>
  <si>
    <t xml:space="preserve">PYRAMIS</t>
  </si>
  <si>
    <t xml:space="preserve">6+7+9</t>
  </si>
  <si>
    <t xml:space="preserve">AL BARAKA</t>
  </si>
  <si>
    <t xml:space="preserve">YATRIB</t>
  </si>
  <si>
    <t xml:space="preserve">12+13+14</t>
  </si>
  <si>
    <t xml:space="preserve">KINKANSTAR</t>
  </si>
  <si>
    <t xml:space="preserve">CHOCOSTAR</t>
  </si>
  <si>
    <t xml:space="preserve">LOGOS</t>
  </si>
  <si>
    <t xml:space="preserve">COURGETTE</t>
  </si>
  <si>
    <t xml:space="preserve">3+8</t>
  </si>
  <si>
    <t xml:space="preserve">DELYCA</t>
  </si>
  <si>
    <t xml:space="preserve">9+12</t>
  </si>
  <si>
    <t xml:space="preserve">PAOLO</t>
  </si>
  <si>
    <t xml:space="preserve">11+14</t>
  </si>
  <si>
    <t xml:space="preserve">9+11</t>
  </si>
  <si>
    <t xml:space="preserve">23+24</t>
  </si>
  <si>
    <t xml:space="preserve">6+18</t>
  </si>
  <si>
    <t xml:space="preserve">TIN ADDI</t>
  </si>
  <si>
    <t xml:space="preserve">3+4+5+6</t>
  </si>
  <si>
    <t xml:space="preserve">15+16+17</t>
  </si>
  <si>
    <t xml:space="preserve">PENDRAGON</t>
  </si>
  <si>
    <t xml:space="preserve">18+19</t>
  </si>
  <si>
    <t xml:space="preserve">HILARII</t>
  </si>
  <si>
    <t xml:space="preserve">ALBARAKA</t>
  </si>
  <si>
    <t xml:space="preserve">WAFIRA</t>
  </si>
  <si>
    <t xml:space="preserve">SAIKO SATR</t>
  </si>
  <si>
    <t xml:space="preserve">8+11</t>
  </si>
  <si>
    <t xml:space="preserve">MORRION</t>
  </si>
  <si>
    <t xml:space="preserve">2+5</t>
  </si>
  <si>
    <t xml:space="preserve">PARAISO</t>
  </si>
  <si>
    <t xml:space="preserve">13+14+15</t>
  </si>
  <si>
    <t xml:space="preserve">RUSH</t>
  </si>
  <si>
    <t xml:space="preserve">DURSAOL</t>
  </si>
  <si>
    <t xml:space="preserve">AMOUZ 3</t>
  </si>
  <si>
    <t xml:space="preserve">5+6+7</t>
  </si>
  <si>
    <t xml:space="preserve">SOUALEM</t>
  </si>
  <si>
    <t xml:space="preserve">TOTAL RECOLTE /JOUR 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</si>
</sst>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;@"/>
    <numFmt numFmtId="166" formatCode="0.00"/>
    <numFmt numFmtId="167" formatCode="#,##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u val="single"/>
      <sz val="14"/>
      <color rgb="FF0000FF"/>
      <name val="Bahnschrift Light"/>
      <family val="2"/>
      <charset val="1"/>
    </font>
    <font>
      <u val="single"/>
      <sz val="14"/>
      <color rgb="FFC00000"/>
      <name val="Bahnschrift Light"/>
      <family val="2"/>
      <charset val="1"/>
    </font>
    <font>
      <u val="single"/>
      <sz val="16"/>
      <color rgb="FF0000FF"/>
      <name val="Bahnschrift Light"/>
      <family val="2"/>
      <charset val="1"/>
    </font>
    <font>
      <u val="single"/>
      <sz val="12"/>
      <color rgb="FF0000FF"/>
      <name val="Calibri"/>
      <family val="2"/>
      <charset val="1"/>
    </font>
    <font>
      <sz val="10"/>
      <color theme="1"/>
      <name val="Bahnschrift Light"/>
      <family val="2"/>
      <charset val="1"/>
    </font>
    <font>
      <b val="true"/>
      <sz val="22"/>
      <color rgb="FFFFFF00"/>
      <name val="Calibri"/>
      <family val="2"/>
      <charset val="1"/>
    </font>
    <font>
      <sz val="20"/>
      <color rgb="FF00B050"/>
      <name val="Calibri"/>
      <family val="2"/>
      <charset val="1"/>
    </font>
    <font>
      <sz val="16"/>
      <color theme="0"/>
      <name val="Times New Roman"/>
      <family val="1"/>
      <charset val="1"/>
    </font>
    <font>
      <sz val="14"/>
      <color theme="0"/>
      <name val="Times New Roman"/>
      <family val="1"/>
      <charset val="1"/>
    </font>
    <font>
      <sz val="12"/>
      <color theme="0"/>
      <name val="Times New Roman"/>
      <family val="1"/>
      <charset val="1"/>
    </font>
    <font>
      <b val="true"/>
      <sz val="11"/>
      <color theme="0"/>
      <name val="Times New Roman"/>
      <family val="1"/>
      <charset val="1"/>
    </font>
    <font>
      <b val="true"/>
      <sz val="14"/>
      <color theme="0"/>
      <name val="Sylfaen"/>
      <family val="1"/>
      <charset val="1"/>
    </font>
    <font>
      <sz val="14"/>
      <color rgb="FFFFFF00"/>
      <name val="Bahnschrift SemiLight SemiConde"/>
      <family val="2"/>
      <charset val="1"/>
    </font>
    <font>
      <sz val="14"/>
      <color theme="8" tint="-0.5"/>
      <name val="Bahnschrift SemiLight SemiConde"/>
      <family val="2"/>
      <charset val="1"/>
    </font>
    <font>
      <b val="true"/>
      <sz val="14"/>
      <color theme="0" tint="-0.05"/>
      <name val="Consolas"/>
      <family val="3"/>
      <charset val="1"/>
    </font>
    <font>
      <b val="true"/>
      <sz val="14"/>
      <color theme="2"/>
      <name val="Consolas"/>
      <family val="3"/>
      <charset val="1"/>
    </font>
    <font>
      <b val="true"/>
      <sz val="10"/>
      <color theme="0"/>
      <name val="Bahnschrift Light"/>
      <family val="2"/>
      <charset val="1"/>
    </font>
    <font>
      <sz val="10"/>
      <color theme="0"/>
      <name val="Bahnschrift Light"/>
      <family val="2"/>
      <charset val="1"/>
    </font>
    <font>
      <sz val="8"/>
      <color theme="0"/>
      <name val="Bahnschrift Light"/>
      <family val="2"/>
      <charset val="1"/>
    </font>
    <font>
      <sz val="12"/>
      <color theme="0"/>
      <name val="Bahnschrift Light"/>
      <family val="2"/>
      <charset val="1"/>
    </font>
    <font>
      <sz val="14"/>
      <color theme="0"/>
      <name val="Bahnschrift Light"/>
      <family val="2"/>
      <charset val="1"/>
    </font>
    <font>
      <sz val="11"/>
      <color theme="2"/>
      <name val="Bahnschrift Light"/>
      <family val="2"/>
      <charset val="1"/>
    </font>
    <font>
      <sz val="11"/>
      <color theme="0"/>
      <name val="Bahnschrift Light"/>
      <family val="2"/>
      <charset val="1"/>
    </font>
    <font>
      <sz val="14"/>
      <color rgb="FF0000FF"/>
      <name val="Bahnschrift Light"/>
      <family val="2"/>
      <charset val="1"/>
    </font>
    <font>
      <sz val="14"/>
      <color rgb="FFC00000"/>
      <name val="MS Sans Serif"/>
      <family val="0"/>
      <charset val="1"/>
    </font>
    <font>
      <sz val="14"/>
      <color rgb="FF0000FF"/>
      <name val="MS Sans Serif"/>
      <family val="0"/>
      <charset val="1"/>
    </font>
    <font>
      <sz val="14"/>
      <color theme="9" tint="-0.5"/>
      <name val="MS Sans Serif"/>
      <family val="0"/>
      <charset val="1"/>
    </font>
    <font>
      <b val="true"/>
      <sz val="14"/>
      <color theme="1"/>
      <name val="Consolas"/>
      <family val="3"/>
      <charset val="1"/>
    </font>
    <font>
      <sz val="11"/>
      <color rgb="FFFFC000"/>
      <name val="Bahnschrift Light"/>
      <family val="2"/>
      <charset val="1"/>
    </font>
    <font>
      <b val="true"/>
      <sz val="14"/>
      <color theme="0"/>
      <name val="Consolas"/>
      <family val="3"/>
      <charset val="1"/>
    </font>
    <font>
      <sz val="11"/>
      <color theme="2" tint="-0.1"/>
      <name val="Bahnschrift Light"/>
      <family val="2"/>
      <charset val="1"/>
    </font>
    <font>
      <u val="single"/>
      <sz val="10"/>
      <color rgb="FFFF0000"/>
      <name val="Bahnschrift Light"/>
      <family val="2"/>
      <charset val="1"/>
    </font>
    <font>
      <sz val="12"/>
      <color rgb="FFFF00FF"/>
      <name val="Bahnschrift Light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C000"/>
        <bgColor rgb="FFF4B183"/>
      </patternFill>
    </fill>
    <fill>
      <patternFill patternType="solid">
        <fgColor theme="1"/>
        <bgColor rgb="FF0D0D0D"/>
      </patternFill>
    </fill>
    <fill>
      <patternFill patternType="solid">
        <fgColor rgb="FF0000FF"/>
        <bgColor rgb="FF0000FF"/>
      </patternFill>
    </fill>
    <fill>
      <patternFill patternType="solid">
        <fgColor rgb="FF002060"/>
        <bgColor rgb="FF203864"/>
      </patternFill>
    </fill>
    <fill>
      <patternFill patternType="solid">
        <fgColor rgb="FF660033"/>
        <bgColor rgb="FF800000"/>
      </patternFill>
    </fill>
    <fill>
      <patternFill patternType="solid">
        <fgColor theme="9" tint="-0.5"/>
        <bgColor rgb="FF404040"/>
      </patternFill>
    </fill>
    <fill>
      <patternFill patternType="solid">
        <fgColor theme="5" tint="-0.25"/>
        <bgColor rgb="FFBF9000"/>
      </patternFill>
    </fill>
    <fill>
      <patternFill patternType="solid">
        <fgColor theme="9" tint="0.7999"/>
        <bgColor rgb="FFE7E6E6"/>
      </patternFill>
    </fill>
    <fill>
      <patternFill patternType="solid">
        <fgColor rgb="FFFFCCFF"/>
        <bgColor rgb="FFE7E6E6"/>
      </patternFill>
    </fill>
    <fill>
      <patternFill patternType="solid">
        <fgColor rgb="FFA50021"/>
        <bgColor rgb="FFC00000"/>
      </patternFill>
    </fill>
    <fill>
      <patternFill patternType="solid">
        <fgColor rgb="FF00B0F0"/>
        <bgColor rgb="FF33CCCC"/>
      </patternFill>
    </fill>
    <fill>
      <patternFill patternType="solid">
        <fgColor theme="5" tint="0.3999"/>
        <bgColor rgb="FFBFBFBF"/>
      </patternFill>
    </fill>
    <fill>
      <patternFill patternType="solid">
        <fgColor rgb="FF009900"/>
        <bgColor rgb="FF00B050"/>
      </patternFill>
    </fill>
    <fill>
      <patternFill patternType="solid">
        <fgColor theme="4" tint="-0.2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800000"/>
        <bgColor rgb="FF660033"/>
      </patternFill>
    </fill>
    <fill>
      <patternFill patternType="solid">
        <fgColor theme="7" tint="-0.25"/>
        <bgColor rgb="FFC55A11"/>
      </patternFill>
    </fill>
    <fill>
      <patternFill patternType="solid">
        <fgColor rgb="FFFF00FF"/>
        <bgColor rgb="FFFF00FF"/>
      </patternFill>
    </fill>
    <fill>
      <patternFill patternType="solid">
        <fgColor theme="1" tint="0.2499"/>
        <bgColor rgb="FF3B3838"/>
      </patternFill>
    </fill>
    <fill>
      <patternFill patternType="solid">
        <fgColor theme="0" tint="-0.25"/>
        <bgColor rgb="FFD0CECE"/>
      </patternFill>
    </fill>
    <fill>
      <patternFill patternType="solid">
        <fgColor theme="2" tint="-0.75"/>
        <bgColor rgb="FF404040"/>
      </patternFill>
    </fill>
    <fill>
      <patternFill patternType="solid">
        <fgColor theme="1" tint="0.0499"/>
        <bgColor rgb="FF000000"/>
      </patternFill>
    </fill>
    <fill>
      <patternFill patternType="solid">
        <fgColor rgb="FF6600CC"/>
        <bgColor rgb="FF800080"/>
      </patternFill>
    </fill>
    <fill>
      <patternFill patternType="solid">
        <fgColor theme="3" tint="-0.25"/>
        <bgColor rgb="FF40404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>
        <color theme="0"/>
      </left>
      <right style="hair">
        <color theme="0"/>
      </right>
      <top/>
      <bottom style="hair">
        <color theme="0"/>
      </bottom>
      <diagonal/>
    </border>
    <border diagonalUp="false" diagonalDown="false">
      <left style="hair">
        <color theme="0"/>
      </left>
      <right style="hair">
        <color theme="0"/>
      </right>
      <top style="thin"/>
      <bottom style="hair">
        <color theme="0"/>
      </bottom>
      <diagonal/>
    </border>
    <border diagonalUp="false" diagonalDown="false">
      <left style="hair">
        <color theme="0"/>
      </left>
      <right/>
      <top/>
      <bottom style="hair">
        <color theme="0"/>
      </bottom>
      <diagonal/>
    </border>
    <border diagonalUp="false" diagonalDown="false">
      <left style="hair">
        <color theme="0"/>
      </left>
      <right style="hair">
        <color theme="0"/>
      </right>
      <top/>
      <bottom style="thin"/>
      <diagonal/>
    </border>
    <border diagonalUp="false" diagonalDown="false">
      <left style="hair">
        <color theme="0"/>
      </left>
      <right style="hair">
        <color theme="0"/>
      </right>
      <top style="hair">
        <color theme="0"/>
      </top>
      <bottom style="thin"/>
      <diagonal/>
    </border>
    <border diagonalUp="false" diagonalDown="false">
      <left/>
      <right style="thin"/>
      <top style="hair">
        <color theme="0"/>
      </top>
      <bottom style="thin"/>
      <diagonal/>
    </border>
    <border diagonalUp="false" diagonalDown="false">
      <left/>
      <right style="hair">
        <color theme="0"/>
      </right>
      <top style="hair">
        <color theme="0"/>
      </top>
      <bottom style="hair">
        <color theme="0"/>
      </bottom>
      <diagonal/>
    </border>
    <border diagonalUp="false" diagonalDown="false"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 diagonalUp="false" diagonalDown="false">
      <left style="hair">
        <color theme="0"/>
      </left>
      <right style="thin"/>
      <top style="hair">
        <color theme="0"/>
      </top>
      <bottom style="hair">
        <color theme="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>
        <color theme="0"/>
      </left>
      <right style="hair">
        <color theme="0"/>
      </right>
      <top style="hair">
        <color theme="0"/>
      </top>
      <bottom/>
      <diagonal/>
    </border>
    <border diagonalUp="false" diagonalDown="false">
      <left style="hair">
        <color theme="0"/>
      </left>
      <right style="thin"/>
      <top style="hair">
        <color theme="0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hair">
        <color theme="0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hair">
        <color theme="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7" fillId="6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7" fillId="2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6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1"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333F5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6600CC"/>
          <bgColor rgb="FF000000"/>
        </patternFill>
      </fill>
    </dxf>
    <dxf>
      <fill>
        <patternFill patternType="solid">
          <fgColor rgb="FF800000"/>
          <bgColor rgb="FF000000"/>
        </patternFill>
      </fill>
    </dxf>
    <dxf>
      <fill>
        <patternFill patternType="solid">
          <fgColor rgb="FFA50021"/>
          <bgColor rgb="FF000000"/>
        </patternFill>
      </fill>
    </dxf>
    <dxf>
      <fill>
        <patternFill patternType="solid">
          <fgColor rgb="FFBF900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99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60033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85724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CC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385724"/>
      <rgbColor rgb="FF6600CC"/>
      <rgbColor rgb="FF008080"/>
      <rgbColor rgb="FFBFBFBF"/>
      <rgbColor rgb="FF808080"/>
      <rgbColor rgb="FF9999FF"/>
      <rgbColor rgb="FF993366"/>
      <rgbColor rgb="FFF2F2F2"/>
      <rgbColor rgb="FFE7E6E6"/>
      <rgbColor rgb="FF660033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A50021"/>
      <rgbColor rgb="FF008080"/>
      <rgbColor rgb="FF0000FF"/>
      <rgbColor rgb="FF00B0F0"/>
      <rgbColor rgb="FFCCFFFF"/>
      <rgbColor rgb="FFE2F0D9"/>
      <rgbColor rgb="FFFFFF99"/>
      <rgbColor rgb="FF99CCFF"/>
      <rgbColor rgb="FFFFCCFF"/>
      <rgbColor rgb="FFCC99FF"/>
      <rgbColor rgb="FFF4B183"/>
      <rgbColor rgb="FF2E75B6"/>
      <rgbColor rgb="FF33CCCC"/>
      <rgbColor rgb="FF99CC00"/>
      <rgbColor rgb="FFFFC000"/>
      <rgbColor rgb="FFBF9000"/>
      <rgbColor rgb="FFC55A11"/>
      <rgbColor rgb="FF333F50"/>
      <rgbColor rgb="FF969696"/>
      <rgbColor rgb="FF002060"/>
      <rgbColor rgb="FF00B050"/>
      <rgbColor rgb="FF0D0D0D"/>
      <rgbColor rgb="FF404040"/>
      <rgbColor rgb="FFC00000"/>
      <rgbColor rgb="FF993366"/>
      <rgbColor rgb="FF203864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0D0D"/>
    <pageSetUpPr fitToPage="false"/>
  </sheetPr>
  <dimension ref="B2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4257812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2" t="n">
        <v>22</v>
      </c>
    </row>
    <row r="3" customFormat="false" ht="15" hidden="false" customHeight="false" outlineLevel="0" collapsed="false">
      <c r="B3" s="1"/>
      <c r="C3" s="2"/>
    </row>
    <row r="4" customFormat="false" ht="15" hidden="false" customHeight="false" outlineLevel="0" collapsed="false">
      <c r="B4" s="1"/>
      <c r="C4" s="2"/>
    </row>
  </sheetData>
  <mergeCells count="2">
    <mergeCell ref="B2:B4"/>
    <mergeCell ref="C2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D26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0" ySplit="4" topLeftCell="K7" activePane="bottomRight" state="frozen"/>
      <selection pane="topLeft" activeCell="A1" activeCellId="0" sqref="A1"/>
      <selection pane="topRight" activeCell="K1" activeCellId="0" sqref="K1"/>
      <selection pane="bottomLeft" activeCell="A7" activeCellId="0" sqref="A7"/>
      <selection pane="bottomRight" activeCell="D4" activeCellId="0" sqref="D4"/>
    </sheetView>
  </sheetViews>
  <sheetFormatPr defaultColWidth="14.71484375" defaultRowHeight="15.75" customHeight="false" zeroHeight="false" outlineLevelRow="0" outlineLevelCol="0"/>
  <cols>
    <col collapsed="false" customWidth="true" hidden="true" outlineLevel="0" max="1" min="1" style="3" width="26.42"/>
    <col collapsed="false" customWidth="true" hidden="false" outlineLevel="0" max="2" min="2" style="3" width="15.29"/>
    <col collapsed="false" customWidth="true" hidden="false" outlineLevel="0" max="3" min="3" style="3" width="14"/>
    <col collapsed="false" customWidth="true" hidden="false" outlineLevel="0" max="4" min="4" style="0" width="17"/>
    <col collapsed="false" customWidth="true" hidden="false" outlineLevel="0" max="5" min="5" style="0" width="17.29"/>
    <col collapsed="false" customWidth="true" hidden="false" outlineLevel="0" max="7" min="7" style="4" width="17"/>
    <col collapsed="false" customWidth="true" hidden="false" outlineLevel="0" max="8" min="8" style="0" width="12.57"/>
    <col collapsed="false" customWidth="true" hidden="false" outlineLevel="0" max="9" min="9" style="0" width="16"/>
    <col collapsed="false" customWidth="true" hidden="false" outlineLevel="0" max="10" min="10" style="0" width="18.29"/>
    <col collapsed="false" customWidth="true" hidden="true" outlineLevel="0" max="12" min="11" style="0" width="10.85"/>
    <col collapsed="false" customWidth="true" hidden="true" outlineLevel="0" max="19" min="13" style="5" width="10.85"/>
    <col collapsed="false" customWidth="true" hidden="true" outlineLevel="0" max="24" min="20" style="5" width="12.42"/>
    <col collapsed="false" customWidth="true" hidden="false" outlineLevel="0" max="25" min="25" style="5" width="12.42"/>
    <col collapsed="false" customWidth="true" hidden="true" outlineLevel="0" max="26" min="26" style="5" width="2.57"/>
    <col collapsed="false" customWidth="true" hidden="false" outlineLevel="0" max="27" min="27" style="0" width="16.71"/>
    <col collapsed="false" customWidth="true" hidden="false" outlineLevel="0" max="28" min="28" style="0" width="10.85"/>
    <col collapsed="false" customWidth="true" hidden="false" outlineLevel="0" max="29" min="29" style="0" width="17.29"/>
    <col collapsed="false" customWidth="false" hidden="false" outlineLevel="0" max="30" min="30" style="3" width="14.71"/>
  </cols>
  <sheetData>
    <row r="1" customFormat="false" ht="3.75" hidden="false" customHeight="true" outlineLevel="0" collapsed="false">
      <c r="D1" s="3"/>
      <c r="E1" s="3"/>
      <c r="F1" s="3"/>
      <c r="G1" s="6"/>
      <c r="H1" s="3"/>
      <c r="I1" s="3"/>
      <c r="J1" s="3"/>
      <c r="K1" s="3"/>
      <c r="L1" s="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3"/>
      <c r="AB1" s="3"/>
      <c r="AC1" s="3"/>
    </row>
    <row r="2" customFormat="false" ht="27" hidden="false" customHeight="true" outlineLevel="0" collapsed="false">
      <c r="D2" s="8" t="s">
        <v>1</v>
      </c>
      <c r="E2" s="8"/>
      <c r="F2" s="8"/>
      <c r="G2" s="8"/>
      <c r="H2" s="8"/>
      <c r="I2" s="8"/>
      <c r="J2" s="8"/>
      <c r="K2" s="9"/>
      <c r="L2" s="9"/>
      <c r="M2" s="10"/>
      <c r="N2" s="10"/>
      <c r="O2" s="10"/>
      <c r="P2" s="10"/>
      <c r="Q2" s="10"/>
      <c r="R2" s="10"/>
      <c r="S2" s="10"/>
      <c r="T2" s="7"/>
      <c r="U2" s="7"/>
      <c r="V2" s="7"/>
      <c r="W2" s="7"/>
      <c r="X2" s="7"/>
      <c r="Y2" s="7"/>
      <c r="Z2" s="7"/>
      <c r="AA2" s="11" t="s">
        <v>2</v>
      </c>
      <c r="AB2" s="12" t="n">
        <v>15</v>
      </c>
      <c r="AC2" s="13"/>
    </row>
    <row r="3" customFormat="false" ht="3.75" hidden="false" customHeight="true" outlineLevel="0" collapsed="false">
      <c r="D3" s="3"/>
      <c r="E3" s="3"/>
      <c r="F3" s="3"/>
      <c r="G3" s="6"/>
      <c r="H3" s="3"/>
      <c r="I3" s="3" t="n">
        <v>12</v>
      </c>
      <c r="J3" s="3"/>
      <c r="K3" s="3"/>
      <c r="L3" s="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3"/>
      <c r="AB3" s="3"/>
      <c r="AC3" s="3"/>
    </row>
    <row r="4" customFormat="false" ht="28.5" hidden="false" customHeight="true" outlineLevel="0" collapsed="false">
      <c r="A4" s="14" t="s">
        <v>3</v>
      </c>
      <c r="B4" s="14" t="s">
        <v>4</v>
      </c>
      <c r="C4" s="14" t="s">
        <v>5</v>
      </c>
      <c r="D4" s="14" t="s">
        <v>6</v>
      </c>
      <c r="E4" s="15" t="s">
        <v>7</v>
      </c>
      <c r="F4" s="16" t="s">
        <v>8</v>
      </c>
      <c r="G4" s="17" t="s">
        <v>9</v>
      </c>
      <c r="H4" s="16" t="s">
        <v>10</v>
      </c>
      <c r="I4" s="18" t="s">
        <v>11</v>
      </c>
      <c r="J4" s="19" t="s">
        <v>12</v>
      </c>
      <c r="K4" s="20" t="n">
        <v>46128</v>
      </c>
      <c r="L4" s="20" t="n">
        <v>46129</v>
      </c>
      <c r="M4" s="20" t="n">
        <v>46130</v>
      </c>
      <c r="N4" s="20" t="n">
        <v>46131</v>
      </c>
      <c r="O4" s="20" t="n">
        <v>46132</v>
      </c>
      <c r="P4" s="20" t="n">
        <v>46133</v>
      </c>
      <c r="Q4" s="20" t="n">
        <v>46134</v>
      </c>
      <c r="R4" s="20" t="n">
        <v>46135</v>
      </c>
      <c r="S4" s="20" t="n">
        <v>46136</v>
      </c>
      <c r="T4" s="20" t="n">
        <v>46137</v>
      </c>
      <c r="U4" s="20" t="n">
        <v>46138</v>
      </c>
      <c r="V4" s="20" t="n">
        <v>46139</v>
      </c>
      <c r="W4" s="20" t="n">
        <v>46140</v>
      </c>
      <c r="X4" s="20" t="n">
        <v>46141</v>
      </c>
      <c r="Y4" s="20" t="n">
        <v>46142</v>
      </c>
      <c r="Z4" s="20"/>
      <c r="AA4" s="21" t="s">
        <v>13</v>
      </c>
      <c r="AB4" s="21" t="s">
        <v>14</v>
      </c>
      <c r="AC4" s="22" t="s">
        <v>15</v>
      </c>
    </row>
    <row r="5" customFormat="false" ht="19.5" hidden="false" customHeight="true" outlineLevel="0" collapsed="false">
      <c r="A5" s="23" t="s">
        <v>16</v>
      </c>
      <c r="B5" s="24" t="s">
        <v>17</v>
      </c>
      <c r="C5" s="25" t="n">
        <v>701</v>
      </c>
      <c r="D5" s="26" t="s">
        <v>18</v>
      </c>
      <c r="E5" s="27" t="s">
        <v>19</v>
      </c>
      <c r="F5" s="28" t="s">
        <v>20</v>
      </c>
      <c r="G5" s="29" t="s">
        <v>21</v>
      </c>
      <c r="H5" s="30" t="n">
        <v>1.5</v>
      </c>
      <c r="I5" s="31" t="s">
        <v>22</v>
      </c>
      <c r="J5" s="32" t="n">
        <v>45866</v>
      </c>
      <c r="K5" s="33" t="n">
        <v>3647</v>
      </c>
      <c r="L5" s="33"/>
      <c r="M5" s="33"/>
      <c r="N5" s="33" t="n">
        <v>2720</v>
      </c>
      <c r="O5" s="33"/>
      <c r="P5" s="33"/>
      <c r="Q5" s="33"/>
      <c r="R5" s="33" t="n">
        <v>4596</v>
      </c>
      <c r="S5" s="33"/>
      <c r="T5" s="33"/>
      <c r="U5" s="33" t="n">
        <v>3410</v>
      </c>
      <c r="V5" s="33"/>
      <c r="W5" s="33"/>
      <c r="X5" s="33"/>
      <c r="Y5" s="33"/>
      <c r="Z5" s="33"/>
      <c r="AA5" s="34" t="n">
        <f aca="false">SUM(K5:Z5)</f>
        <v>14373</v>
      </c>
      <c r="AB5" s="35" t="n">
        <f aca="false">SUM(AA5/H5)</f>
        <v>9582</v>
      </c>
      <c r="AC5" s="36" t="n">
        <f aca="false">AB5/$AB$2</f>
        <v>638.8</v>
      </c>
    </row>
    <row r="6" customFormat="false" ht="19.5" hidden="false" customHeight="true" outlineLevel="0" collapsed="false">
      <c r="A6" s="23" t="s">
        <v>16</v>
      </c>
      <c r="B6" s="24" t="s">
        <v>17</v>
      </c>
      <c r="C6" s="25" t="n">
        <v>701</v>
      </c>
      <c r="D6" s="26" t="s">
        <v>18</v>
      </c>
      <c r="E6" s="27" t="s">
        <v>23</v>
      </c>
      <c r="F6" s="28" t="s">
        <v>20</v>
      </c>
      <c r="G6" s="29" t="s">
        <v>24</v>
      </c>
      <c r="H6" s="30" t="n">
        <v>1.5</v>
      </c>
      <c r="I6" s="31" t="s">
        <v>22</v>
      </c>
      <c r="J6" s="32" t="n">
        <v>45874</v>
      </c>
      <c r="K6" s="33" t="n">
        <v>62</v>
      </c>
      <c r="L6" s="33" t="n">
        <v>1680</v>
      </c>
      <c r="M6" s="33"/>
      <c r="N6" s="33"/>
      <c r="O6" s="33"/>
      <c r="P6" s="33" t="n">
        <v>2176</v>
      </c>
      <c r="Q6" s="33"/>
      <c r="R6" s="33"/>
      <c r="S6" s="33"/>
      <c r="T6" s="33" t="n">
        <v>2568</v>
      </c>
      <c r="U6" s="33"/>
      <c r="V6" s="33"/>
      <c r="W6" s="33"/>
      <c r="X6" s="33" t="n">
        <v>1900</v>
      </c>
      <c r="Y6" s="33"/>
      <c r="Z6" s="33"/>
      <c r="AA6" s="34" t="n">
        <f aca="false">SUM(K6:Z6)</f>
        <v>8386</v>
      </c>
      <c r="AB6" s="35" t="n">
        <f aca="false">SUM(AA6/H6)</f>
        <v>5590.66666666667</v>
      </c>
      <c r="AC6" s="36" t="n">
        <f aca="false">AB6/$AB$2</f>
        <v>372.711111111111</v>
      </c>
    </row>
    <row r="7" customFormat="false" ht="19.5" hidden="false" customHeight="true" outlineLevel="0" collapsed="false">
      <c r="A7" s="37" t="s">
        <v>25</v>
      </c>
      <c r="B7" s="38" t="s">
        <v>26</v>
      </c>
      <c r="C7" s="25" t="n">
        <v>503</v>
      </c>
      <c r="D7" s="26" t="s">
        <v>27</v>
      </c>
      <c r="E7" s="27" t="s">
        <v>23</v>
      </c>
      <c r="F7" s="28" t="s">
        <v>20</v>
      </c>
      <c r="G7" s="29" t="s">
        <v>28</v>
      </c>
      <c r="H7" s="30" t="n">
        <v>1.88</v>
      </c>
      <c r="I7" s="31" t="s">
        <v>22</v>
      </c>
      <c r="J7" s="32" t="n">
        <v>45945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4" t="n">
        <f aca="false">SUM(K7:Z7)</f>
        <v>0</v>
      </c>
      <c r="AB7" s="35" t="n">
        <f aca="false">SUM(AA7/H7)</f>
        <v>0</v>
      </c>
      <c r="AC7" s="36" t="n">
        <f aca="false">AB7/$AB$2</f>
        <v>0</v>
      </c>
    </row>
    <row r="8" customFormat="false" ht="19.5" hidden="false" customHeight="true" outlineLevel="0" collapsed="false">
      <c r="A8" s="39" t="s">
        <v>29</v>
      </c>
      <c r="B8" s="40" t="s">
        <v>30</v>
      </c>
      <c r="C8" s="25" t="n">
        <v>502</v>
      </c>
      <c r="D8" s="26" t="s">
        <v>31</v>
      </c>
      <c r="E8" s="27" t="s">
        <v>32</v>
      </c>
      <c r="F8" s="28" t="s">
        <v>33</v>
      </c>
      <c r="G8" s="29" t="n">
        <v>7</v>
      </c>
      <c r="H8" s="30" t="n">
        <v>1</v>
      </c>
      <c r="I8" s="41" t="s">
        <v>34</v>
      </c>
      <c r="J8" s="32" t="n">
        <v>45819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4" t="n">
        <f aca="false">SUM(K8:Z8)</f>
        <v>0</v>
      </c>
      <c r="AB8" s="35" t="n">
        <f aca="false">SUM(AA8/H8)</f>
        <v>0</v>
      </c>
      <c r="AC8" s="36" t="n">
        <f aca="false">AB8/$AB$2</f>
        <v>0</v>
      </c>
    </row>
    <row r="9" customFormat="false" ht="19.5" hidden="false" customHeight="true" outlineLevel="0" collapsed="false">
      <c r="A9" s="37" t="s">
        <v>25</v>
      </c>
      <c r="B9" s="38" t="s">
        <v>26</v>
      </c>
      <c r="C9" s="25" t="n">
        <v>503</v>
      </c>
      <c r="D9" s="26" t="s">
        <v>27</v>
      </c>
      <c r="E9" s="27" t="s">
        <v>35</v>
      </c>
      <c r="F9" s="28" t="s">
        <v>20</v>
      </c>
      <c r="G9" s="29" t="s">
        <v>36</v>
      </c>
      <c r="H9" s="30" t="n">
        <v>1.65</v>
      </c>
      <c r="I9" s="31" t="s">
        <v>22</v>
      </c>
      <c r="J9" s="32" t="n">
        <v>45866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4" t="n">
        <f aca="false">SUM(K9:Z9)</f>
        <v>0</v>
      </c>
      <c r="AB9" s="35" t="n">
        <f aca="false">SUM(AA9/H9)</f>
        <v>0</v>
      </c>
      <c r="AC9" s="36" t="n">
        <f aca="false">AB9/$AB$2</f>
        <v>0</v>
      </c>
    </row>
    <row r="10" customFormat="false" ht="19.5" hidden="false" customHeight="true" outlineLevel="0" collapsed="false">
      <c r="A10" s="37" t="s">
        <v>25</v>
      </c>
      <c r="B10" s="38" t="s">
        <v>26</v>
      </c>
      <c r="C10" s="25" t="n">
        <v>503</v>
      </c>
      <c r="D10" s="26" t="s">
        <v>27</v>
      </c>
      <c r="E10" s="27" t="s">
        <v>23</v>
      </c>
      <c r="F10" s="28" t="s">
        <v>20</v>
      </c>
      <c r="G10" s="29" t="n">
        <v>5</v>
      </c>
      <c r="H10" s="30" t="n">
        <v>1</v>
      </c>
      <c r="I10" s="31" t="s">
        <v>22</v>
      </c>
      <c r="J10" s="32" t="n">
        <v>45872</v>
      </c>
      <c r="K10" s="33"/>
      <c r="L10" s="33"/>
      <c r="M10" s="33" t="n">
        <v>507</v>
      </c>
      <c r="N10" s="33"/>
      <c r="O10" s="33"/>
      <c r="P10" s="33"/>
      <c r="Q10" s="33"/>
      <c r="R10" s="33"/>
      <c r="S10" s="33" t="n">
        <v>561</v>
      </c>
      <c r="T10" s="33"/>
      <c r="U10" s="33"/>
      <c r="V10" s="33"/>
      <c r="W10" s="33"/>
      <c r="X10" s="33"/>
      <c r="Y10" s="33"/>
      <c r="Z10" s="33"/>
      <c r="AA10" s="34" t="n">
        <f aca="false">SUM(K10:Z10)</f>
        <v>1068</v>
      </c>
      <c r="AB10" s="35" t="n">
        <f aca="false">SUM(AA10/H10)</f>
        <v>1068</v>
      </c>
      <c r="AC10" s="36" t="n">
        <f aca="false">AB10/$AB$2</f>
        <v>71.2</v>
      </c>
    </row>
    <row r="11" customFormat="false" ht="19.5" hidden="false" customHeight="true" outlineLevel="0" collapsed="false">
      <c r="A11" s="37" t="s">
        <v>25</v>
      </c>
      <c r="B11" s="38" t="s">
        <v>26</v>
      </c>
      <c r="C11" s="25" t="n">
        <v>504</v>
      </c>
      <c r="D11" s="26" t="s">
        <v>37</v>
      </c>
      <c r="E11" s="27" t="s">
        <v>38</v>
      </c>
      <c r="F11" s="28" t="s">
        <v>20</v>
      </c>
      <c r="G11" s="29" t="n">
        <v>0</v>
      </c>
      <c r="H11" s="30" t="n">
        <v>1.7</v>
      </c>
      <c r="I11" s="41" t="s">
        <v>39</v>
      </c>
      <c r="J11" s="32" t="n">
        <v>46065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4" t="n">
        <f aca="false">SUM(K11:Z11)</f>
        <v>0</v>
      </c>
      <c r="AB11" s="35" t="n">
        <f aca="false">SUM(AA11/H11)</f>
        <v>0</v>
      </c>
      <c r="AC11" s="36" t="n">
        <f aca="false">AB11/$AB$2</f>
        <v>0</v>
      </c>
    </row>
    <row r="12" customFormat="false" ht="19.5" hidden="false" customHeight="true" outlineLevel="0" collapsed="false">
      <c r="A12" s="37" t="s">
        <v>25</v>
      </c>
      <c r="B12" s="38" t="s">
        <v>26</v>
      </c>
      <c r="C12" s="25" t="n">
        <v>504</v>
      </c>
      <c r="D12" s="26" t="s">
        <v>37</v>
      </c>
      <c r="E12" s="27" t="s">
        <v>38</v>
      </c>
      <c r="F12" s="28" t="s">
        <v>20</v>
      </c>
      <c r="G12" s="29" t="s">
        <v>40</v>
      </c>
      <c r="H12" s="30" t="n">
        <v>2</v>
      </c>
      <c r="I12" s="41" t="s">
        <v>39</v>
      </c>
      <c r="J12" s="32" t="n">
        <v>46365</v>
      </c>
      <c r="K12" s="33" t="n">
        <v>1246</v>
      </c>
      <c r="L12" s="33"/>
      <c r="M12" s="33" t="n">
        <v>542</v>
      </c>
      <c r="N12" s="33"/>
      <c r="O12" s="33" t="n">
        <v>1795</v>
      </c>
      <c r="P12" s="33" t="n">
        <v>2075</v>
      </c>
      <c r="Q12" s="33"/>
      <c r="R12" s="33" t="n">
        <v>2978</v>
      </c>
      <c r="S12" s="33" t="n">
        <v>3068</v>
      </c>
      <c r="T12" s="33"/>
      <c r="U12" s="33" t="n">
        <v>5386</v>
      </c>
      <c r="V12" s="33" t="n">
        <v>5142</v>
      </c>
      <c r="W12" s="33"/>
      <c r="X12" s="33"/>
      <c r="Y12" s="33" t="n">
        <v>3537</v>
      </c>
      <c r="Z12" s="33"/>
      <c r="AA12" s="34" t="n">
        <f aca="false">SUM(K12:Z12)</f>
        <v>25769</v>
      </c>
      <c r="AB12" s="35" t="n">
        <f aca="false">SUM(AA12/H12)</f>
        <v>12884.5</v>
      </c>
      <c r="AC12" s="36" t="n">
        <f aca="false">AB12/$AB$2</f>
        <v>858.966666666667</v>
      </c>
    </row>
    <row r="13" customFormat="false" ht="19.5" hidden="false" customHeight="true" outlineLevel="0" collapsed="false">
      <c r="A13" s="24" t="s">
        <v>41</v>
      </c>
      <c r="B13" s="38" t="s">
        <v>42</v>
      </c>
      <c r="C13" s="25" t="n">
        <v>100</v>
      </c>
      <c r="D13" s="26" t="s">
        <v>43</v>
      </c>
      <c r="E13" s="27" t="s">
        <v>23</v>
      </c>
      <c r="F13" s="28" t="s">
        <v>20</v>
      </c>
      <c r="G13" s="29" t="n">
        <v>7</v>
      </c>
      <c r="H13" s="30" t="n">
        <v>1.3</v>
      </c>
      <c r="I13" s="41" t="s">
        <v>34</v>
      </c>
      <c r="J13" s="32" t="n">
        <v>45812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" t="n">
        <f aca="false">SUM(K13:Z13)</f>
        <v>0</v>
      </c>
      <c r="AB13" s="35" t="n">
        <f aca="false">SUM(AA13/H13)</f>
        <v>0</v>
      </c>
      <c r="AC13" s="36" t="n">
        <f aca="false">AB13/$AB$2</f>
        <v>0</v>
      </c>
    </row>
    <row r="14" customFormat="false" ht="19.5" hidden="false" customHeight="true" outlineLevel="0" collapsed="false">
      <c r="A14" s="24" t="s">
        <v>41</v>
      </c>
      <c r="B14" s="38" t="s">
        <v>42</v>
      </c>
      <c r="C14" s="25" t="n">
        <v>100</v>
      </c>
      <c r="D14" s="26" t="s">
        <v>43</v>
      </c>
      <c r="E14" s="27" t="s">
        <v>32</v>
      </c>
      <c r="F14" s="28" t="s">
        <v>33</v>
      </c>
      <c r="G14" s="29" t="s">
        <v>44</v>
      </c>
      <c r="H14" s="30" t="n">
        <v>2.6</v>
      </c>
      <c r="I14" s="31" t="s">
        <v>22</v>
      </c>
      <c r="J14" s="32" t="n">
        <v>45907</v>
      </c>
      <c r="K14" s="33"/>
      <c r="L14" s="33"/>
      <c r="M14" s="33" t="n">
        <v>2719</v>
      </c>
      <c r="N14" s="33" t="n">
        <v>3240</v>
      </c>
      <c r="O14" s="33"/>
      <c r="P14" s="33"/>
      <c r="Q14" s="33" t="n">
        <v>2145</v>
      </c>
      <c r="R14" s="33" t="n">
        <v>3301</v>
      </c>
      <c r="S14" s="33" t="n">
        <v>1872</v>
      </c>
      <c r="T14" s="33"/>
      <c r="U14" s="33"/>
      <c r="V14" s="33" t="n">
        <v>3119</v>
      </c>
      <c r="W14" s="33" t="n">
        <v>2900</v>
      </c>
      <c r="X14" s="33"/>
      <c r="Y14" s="33"/>
      <c r="Z14" s="33"/>
      <c r="AA14" s="34" t="n">
        <f aca="false">SUM(K14:Z14)</f>
        <v>19296</v>
      </c>
      <c r="AB14" s="35" t="n">
        <f aca="false">SUM(AA14/H14)</f>
        <v>7421.53846153846</v>
      </c>
      <c r="AC14" s="36" t="n">
        <f aca="false">AB14/$AB$2</f>
        <v>494.769230769231</v>
      </c>
    </row>
    <row r="15" customFormat="false" ht="19.5" hidden="false" customHeight="true" outlineLevel="0" collapsed="false">
      <c r="A15" s="42" t="s">
        <v>45</v>
      </c>
      <c r="B15" s="40" t="s">
        <v>30</v>
      </c>
      <c r="C15" s="25" t="n">
        <v>303</v>
      </c>
      <c r="D15" s="26" t="s">
        <v>46</v>
      </c>
      <c r="E15" s="27" t="s">
        <v>47</v>
      </c>
      <c r="F15" s="28" t="s">
        <v>48</v>
      </c>
      <c r="G15" s="29" t="n">
        <v>7</v>
      </c>
      <c r="H15" s="30" t="n">
        <v>0.9</v>
      </c>
      <c r="I15" s="31" t="s">
        <v>22</v>
      </c>
      <c r="J15" s="32" t="n">
        <v>45981</v>
      </c>
      <c r="K15" s="33"/>
      <c r="L15" s="33"/>
      <c r="M15" s="33" t="n">
        <v>2485</v>
      </c>
      <c r="N15" s="33"/>
      <c r="O15" s="33"/>
      <c r="P15" s="33" t="n">
        <v>2747</v>
      </c>
      <c r="Q15" s="33"/>
      <c r="R15" s="33"/>
      <c r="S15" s="33" t="n">
        <v>3885</v>
      </c>
      <c r="T15" s="33"/>
      <c r="U15" s="33"/>
      <c r="V15" s="33"/>
      <c r="W15" s="33" t="n">
        <v>4028</v>
      </c>
      <c r="X15" s="33"/>
      <c r="Y15" s="33"/>
      <c r="Z15" s="33"/>
      <c r="AA15" s="34" t="n">
        <f aca="false">SUM(K15:Z15)</f>
        <v>13145</v>
      </c>
      <c r="AB15" s="35" t="n">
        <f aca="false">SUM(AA15/H15)</f>
        <v>14605.5555555556</v>
      </c>
      <c r="AC15" s="36" t="n">
        <f aca="false">AB15/$AB$2</f>
        <v>973.703703703704</v>
      </c>
    </row>
    <row r="16" customFormat="false" ht="19.5" hidden="false" customHeight="true" outlineLevel="0" collapsed="false">
      <c r="A16" s="42" t="s">
        <v>45</v>
      </c>
      <c r="B16" s="38" t="s">
        <v>30</v>
      </c>
      <c r="C16" s="25" t="n">
        <v>303</v>
      </c>
      <c r="D16" s="26" t="s">
        <v>46</v>
      </c>
      <c r="E16" s="27" t="s">
        <v>19</v>
      </c>
      <c r="F16" s="28" t="s">
        <v>20</v>
      </c>
      <c r="G16" s="29" t="n">
        <v>8</v>
      </c>
      <c r="H16" s="30" t="n">
        <v>1.1</v>
      </c>
      <c r="I16" s="41" t="s">
        <v>34</v>
      </c>
      <c r="J16" s="32" t="n">
        <v>45825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 t="n">
        <f aca="false">SUM(K16:Z16)</f>
        <v>0</v>
      </c>
      <c r="AB16" s="35" t="n">
        <f aca="false">SUM(AA16/H16)</f>
        <v>0</v>
      </c>
      <c r="AC16" s="36" t="n">
        <f aca="false">AB16/$AB$2</f>
        <v>0</v>
      </c>
    </row>
    <row r="17" customFormat="false" ht="19.5" hidden="false" customHeight="true" outlineLevel="0" collapsed="false">
      <c r="A17" s="42" t="s">
        <v>45</v>
      </c>
      <c r="B17" s="38" t="s">
        <v>30</v>
      </c>
      <c r="C17" s="25" t="n">
        <v>303</v>
      </c>
      <c r="D17" s="26" t="s">
        <v>46</v>
      </c>
      <c r="E17" s="27" t="s">
        <v>49</v>
      </c>
      <c r="F17" s="28" t="s">
        <v>48</v>
      </c>
      <c r="G17" s="29" t="n">
        <v>4</v>
      </c>
      <c r="H17" s="30" t="n">
        <v>0.8</v>
      </c>
      <c r="I17" s="31" t="s">
        <v>22</v>
      </c>
      <c r="J17" s="32" t="n">
        <v>45985</v>
      </c>
      <c r="K17" s="33" t="n">
        <v>2720</v>
      </c>
      <c r="L17" s="33"/>
      <c r="M17" s="33"/>
      <c r="N17" s="33" t="n">
        <v>2676</v>
      </c>
      <c r="O17" s="33"/>
      <c r="P17" s="33" t="n">
        <v>1049</v>
      </c>
      <c r="Q17" s="33"/>
      <c r="R17" s="33"/>
      <c r="S17" s="33"/>
      <c r="T17" s="33" t="n">
        <v>5518</v>
      </c>
      <c r="U17" s="33"/>
      <c r="V17" s="33"/>
      <c r="W17" s="33"/>
      <c r="X17" s="33" t="n">
        <v>4082</v>
      </c>
      <c r="Y17" s="33"/>
      <c r="Z17" s="33"/>
      <c r="AA17" s="34" t="n">
        <f aca="false">SUM(K17:Z17)</f>
        <v>16045</v>
      </c>
      <c r="AB17" s="35" t="n">
        <f aca="false">SUM(AA17/H17)</f>
        <v>20056.25</v>
      </c>
      <c r="AC17" s="36" t="n">
        <f aca="false">AB17/$AB$2</f>
        <v>1337.08333333333</v>
      </c>
    </row>
    <row r="18" customFormat="false" ht="19.5" hidden="false" customHeight="true" outlineLevel="0" collapsed="false">
      <c r="A18" s="43" t="s">
        <v>50</v>
      </c>
      <c r="B18" s="38" t="s">
        <v>26</v>
      </c>
      <c r="C18" s="25" t="n">
        <v>401</v>
      </c>
      <c r="D18" s="26" t="s">
        <v>51</v>
      </c>
      <c r="E18" s="27" t="s">
        <v>49</v>
      </c>
      <c r="F18" s="28" t="s">
        <v>48</v>
      </c>
      <c r="G18" s="29" t="n">
        <v>10</v>
      </c>
      <c r="H18" s="30" t="n">
        <v>1.1</v>
      </c>
      <c r="I18" s="31" t="s">
        <v>22</v>
      </c>
      <c r="J18" s="32" t="n">
        <v>45884</v>
      </c>
      <c r="K18" s="33"/>
      <c r="L18" s="33" t="n">
        <v>4314</v>
      </c>
      <c r="M18" s="33"/>
      <c r="N18" s="33"/>
      <c r="O18" s="33" t="n">
        <v>315</v>
      </c>
      <c r="P18" s="33"/>
      <c r="Q18" s="33"/>
      <c r="R18" s="33" t="n">
        <v>3579</v>
      </c>
      <c r="S18" s="33"/>
      <c r="T18" s="33"/>
      <c r="U18" s="33"/>
      <c r="V18" s="33"/>
      <c r="W18" s="33" t="n">
        <v>2280</v>
      </c>
      <c r="X18" s="33" t="n">
        <v>1727</v>
      </c>
      <c r="Y18" s="33"/>
      <c r="Z18" s="33"/>
      <c r="AA18" s="34" t="n">
        <f aca="false">SUM(K18:Z18)</f>
        <v>12215</v>
      </c>
      <c r="AB18" s="35" t="n">
        <f aca="false">SUM(AA18/H18)</f>
        <v>11104.5454545455</v>
      </c>
      <c r="AC18" s="36" t="n">
        <f aca="false">AB18/$AB$2</f>
        <v>740.30303030303</v>
      </c>
    </row>
    <row r="19" customFormat="false" ht="19.5" hidden="false" customHeight="true" outlineLevel="0" collapsed="false">
      <c r="A19" s="43" t="s">
        <v>50</v>
      </c>
      <c r="B19" s="38" t="s">
        <v>26</v>
      </c>
      <c r="C19" s="25" t="n">
        <v>401</v>
      </c>
      <c r="D19" s="26" t="s">
        <v>51</v>
      </c>
      <c r="E19" s="27" t="s">
        <v>32</v>
      </c>
      <c r="F19" s="28" t="s">
        <v>33</v>
      </c>
      <c r="G19" s="29" t="s">
        <v>52</v>
      </c>
      <c r="H19" s="30" t="n">
        <v>4</v>
      </c>
      <c r="I19" s="31" t="s">
        <v>22</v>
      </c>
      <c r="J19" s="32" t="n">
        <v>45862</v>
      </c>
      <c r="K19" s="33"/>
      <c r="L19" s="33"/>
      <c r="M19" s="33" t="n">
        <v>2541</v>
      </c>
      <c r="N19" s="33"/>
      <c r="O19" s="33"/>
      <c r="P19" s="33"/>
      <c r="Q19" s="33" t="n">
        <v>2172</v>
      </c>
      <c r="R19" s="33"/>
      <c r="S19" s="33"/>
      <c r="T19" s="33"/>
      <c r="U19" s="33"/>
      <c r="V19" s="33" t="n">
        <v>4800</v>
      </c>
      <c r="W19" s="33"/>
      <c r="X19" s="33" t="n">
        <v>2260</v>
      </c>
      <c r="Y19" s="33" t="n">
        <v>3617</v>
      </c>
      <c r="Z19" s="33"/>
      <c r="AA19" s="34" t="n">
        <f aca="false">SUM(K19:Z19)</f>
        <v>15390</v>
      </c>
      <c r="AB19" s="35" t="n">
        <f aca="false">SUM(AA19/H19)</f>
        <v>3847.5</v>
      </c>
      <c r="AC19" s="36" t="n">
        <f aca="false">AB19/$AB$2</f>
        <v>256.5</v>
      </c>
    </row>
    <row r="20" customFormat="false" ht="19.5" hidden="false" customHeight="true" outlineLevel="0" collapsed="false">
      <c r="A20" s="24" t="s">
        <v>41</v>
      </c>
      <c r="B20" s="38" t="s">
        <v>42</v>
      </c>
      <c r="C20" s="25" t="n">
        <v>101</v>
      </c>
      <c r="D20" s="26" t="s">
        <v>53</v>
      </c>
      <c r="E20" s="27" t="s">
        <v>54</v>
      </c>
      <c r="F20" s="28" t="s">
        <v>33</v>
      </c>
      <c r="G20" s="29" t="n">
        <v>12</v>
      </c>
      <c r="H20" s="30" t="n">
        <v>1.6</v>
      </c>
      <c r="I20" s="41" t="s">
        <v>34</v>
      </c>
      <c r="J20" s="32" t="n">
        <v>45790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 t="n">
        <f aca="false">SUM(K20:Z20)</f>
        <v>0</v>
      </c>
      <c r="AB20" s="35" t="n">
        <f aca="false">SUM(AA20/H20)</f>
        <v>0</v>
      </c>
      <c r="AC20" s="36" t="n">
        <f aca="false">AB20/$AB$2</f>
        <v>0</v>
      </c>
    </row>
    <row r="21" customFormat="false" ht="19.5" hidden="false" customHeight="true" outlineLevel="0" collapsed="false">
      <c r="A21" s="24" t="s">
        <v>41</v>
      </c>
      <c r="B21" s="38" t="s">
        <v>42</v>
      </c>
      <c r="C21" s="25" t="n">
        <v>101</v>
      </c>
      <c r="D21" s="26" t="s">
        <v>53</v>
      </c>
      <c r="E21" s="27" t="s">
        <v>54</v>
      </c>
      <c r="F21" s="28" t="s">
        <v>33</v>
      </c>
      <c r="G21" s="29" t="n">
        <v>13</v>
      </c>
      <c r="H21" s="30" t="n">
        <v>1.6</v>
      </c>
      <c r="I21" s="41" t="s">
        <v>34</v>
      </c>
      <c r="J21" s="32" t="n">
        <v>45776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 t="n">
        <f aca="false">SUM(K21:Z21)</f>
        <v>0</v>
      </c>
      <c r="AB21" s="35" t="n">
        <f aca="false">SUM(AA21/H21)</f>
        <v>0</v>
      </c>
      <c r="AC21" s="36" t="n">
        <f aca="false">AB21/$AB$2</f>
        <v>0</v>
      </c>
    </row>
    <row r="22" customFormat="false" ht="19.5" hidden="false" customHeight="true" outlineLevel="0" collapsed="false">
      <c r="A22" s="24" t="s">
        <v>41</v>
      </c>
      <c r="B22" s="38" t="s">
        <v>42</v>
      </c>
      <c r="C22" s="25" t="n">
        <v>101</v>
      </c>
      <c r="D22" s="26" t="s">
        <v>53</v>
      </c>
      <c r="E22" s="27" t="s">
        <v>54</v>
      </c>
      <c r="F22" s="28" t="s">
        <v>33</v>
      </c>
      <c r="G22" s="29" t="s">
        <v>55</v>
      </c>
      <c r="H22" s="30" t="n">
        <v>2.5</v>
      </c>
      <c r="I22" s="41" t="s">
        <v>34</v>
      </c>
      <c r="J22" s="32" t="n">
        <v>45720</v>
      </c>
      <c r="K22" s="33"/>
      <c r="L22" s="33"/>
      <c r="M22" s="33"/>
      <c r="N22" s="33"/>
      <c r="O22" s="33"/>
      <c r="P22" s="33"/>
      <c r="Q22" s="33"/>
      <c r="R22" s="33"/>
      <c r="S22" s="33"/>
      <c r="T22" s="33" t="n">
        <v>1595</v>
      </c>
      <c r="U22" s="33"/>
      <c r="V22" s="33"/>
      <c r="W22" s="33"/>
      <c r="X22" s="33" t="n">
        <v>1919</v>
      </c>
      <c r="Y22" s="33"/>
      <c r="Z22" s="33"/>
      <c r="AA22" s="34" t="n">
        <f aca="false">SUM(K22:Z22)</f>
        <v>3514</v>
      </c>
      <c r="AB22" s="35" t="n">
        <f aca="false">SUM(AA22/H22)</f>
        <v>1405.6</v>
      </c>
      <c r="AC22" s="36" t="n">
        <f aca="false">AB22/$AB$2</f>
        <v>93.7066666666667</v>
      </c>
    </row>
    <row r="23" customFormat="false" ht="19.5" hidden="false" customHeight="true" outlineLevel="0" collapsed="false">
      <c r="A23" s="44" t="s">
        <v>56</v>
      </c>
      <c r="B23" s="45" t="s">
        <v>57</v>
      </c>
      <c r="C23" s="25" t="n">
        <v>603</v>
      </c>
      <c r="D23" s="26" t="s">
        <v>58</v>
      </c>
      <c r="E23" s="27" t="s">
        <v>19</v>
      </c>
      <c r="F23" s="28" t="s">
        <v>20</v>
      </c>
      <c r="G23" s="29" t="s">
        <v>59</v>
      </c>
      <c r="H23" s="30" t="n">
        <v>2</v>
      </c>
      <c r="I23" s="31" t="s">
        <v>22</v>
      </c>
      <c r="J23" s="32" t="n">
        <v>45849</v>
      </c>
      <c r="K23" s="33" t="n">
        <v>2222</v>
      </c>
      <c r="L23" s="33"/>
      <c r="M23" s="33"/>
      <c r="N23" s="33" t="n">
        <v>1400</v>
      </c>
      <c r="O23" s="33"/>
      <c r="P23" s="33" t="n">
        <v>390</v>
      </c>
      <c r="Q23" s="33"/>
      <c r="R23" s="33" t="n">
        <v>804</v>
      </c>
      <c r="S23" s="33" t="n">
        <v>1417</v>
      </c>
      <c r="T23" s="33"/>
      <c r="U23" s="33"/>
      <c r="V23" s="33"/>
      <c r="W23" s="33" t="n">
        <v>1581</v>
      </c>
      <c r="X23" s="33" t="n">
        <v>1514</v>
      </c>
      <c r="Y23" s="33"/>
      <c r="Z23" s="33"/>
      <c r="AA23" s="34" t="n">
        <f aca="false">SUM(K23:Z23)</f>
        <v>9328</v>
      </c>
      <c r="AB23" s="35" t="n">
        <f aca="false">SUM(AA23/H23)</f>
        <v>4664</v>
      </c>
      <c r="AC23" s="36" t="n">
        <f aca="false">AB23/$AB$2</f>
        <v>310.933333333333</v>
      </c>
    </row>
    <row r="24" customFormat="false" ht="19.5" hidden="false" customHeight="true" outlineLevel="0" collapsed="false">
      <c r="A24" s="46" t="s">
        <v>60</v>
      </c>
      <c r="B24" s="38" t="s">
        <v>17</v>
      </c>
      <c r="C24" s="25" t="n">
        <v>802</v>
      </c>
      <c r="D24" s="26" t="s">
        <v>61</v>
      </c>
      <c r="E24" s="27" t="s">
        <v>47</v>
      </c>
      <c r="F24" s="28" t="s">
        <v>48</v>
      </c>
      <c r="G24" s="29" t="s">
        <v>62</v>
      </c>
      <c r="H24" s="30" t="n">
        <v>3</v>
      </c>
      <c r="I24" s="31" t="s">
        <v>22</v>
      </c>
      <c r="J24" s="32" t="n">
        <v>45905</v>
      </c>
      <c r="K24" s="33"/>
      <c r="L24" s="33"/>
      <c r="M24" s="33"/>
      <c r="N24" s="33"/>
      <c r="O24" s="33" t="n">
        <v>9987</v>
      </c>
      <c r="P24" s="33"/>
      <c r="Q24" s="33"/>
      <c r="R24" s="33"/>
      <c r="S24" s="33" t="n">
        <v>6340</v>
      </c>
      <c r="T24" s="33"/>
      <c r="U24" s="33"/>
      <c r="V24" s="33"/>
      <c r="W24" s="33" t="n">
        <v>7436</v>
      </c>
      <c r="X24" s="33"/>
      <c r="Y24" s="33"/>
      <c r="Z24" s="33"/>
      <c r="AA24" s="34" t="n">
        <f aca="false">SUM(K24:Z24)</f>
        <v>23763</v>
      </c>
      <c r="AB24" s="35" t="n">
        <f aca="false">SUM(AA24/H24)</f>
        <v>7921</v>
      </c>
      <c r="AC24" s="36" t="n">
        <f aca="false">AB24/$AB$2</f>
        <v>528.066666666667</v>
      </c>
    </row>
    <row r="25" customFormat="false" ht="19.5" hidden="false" customHeight="true" outlineLevel="0" collapsed="false">
      <c r="A25" s="46" t="s">
        <v>60</v>
      </c>
      <c r="B25" s="38" t="s">
        <v>17</v>
      </c>
      <c r="C25" s="25" t="n">
        <v>802</v>
      </c>
      <c r="D25" s="26" t="s">
        <v>61</v>
      </c>
      <c r="E25" s="27" t="s">
        <v>32</v>
      </c>
      <c r="F25" s="28" t="s">
        <v>33</v>
      </c>
      <c r="G25" s="29" t="s">
        <v>63</v>
      </c>
      <c r="H25" s="30" t="n">
        <v>1.6</v>
      </c>
      <c r="I25" s="31" t="s">
        <v>22</v>
      </c>
      <c r="J25" s="32" t="n">
        <v>45909</v>
      </c>
      <c r="K25" s="33" t="n">
        <v>2361</v>
      </c>
      <c r="L25" s="33"/>
      <c r="M25" s="33" t="n">
        <v>1212</v>
      </c>
      <c r="N25" s="33"/>
      <c r="O25" s="33"/>
      <c r="P25" s="33" t="n">
        <v>2518</v>
      </c>
      <c r="Q25" s="33"/>
      <c r="R25" s="33"/>
      <c r="S25" s="33"/>
      <c r="T25" s="33" t="n">
        <v>5502</v>
      </c>
      <c r="U25" s="33"/>
      <c r="V25" s="33"/>
      <c r="W25" s="33"/>
      <c r="X25" s="33" t="n">
        <v>1559</v>
      </c>
      <c r="Y25" s="33"/>
      <c r="Z25" s="33"/>
      <c r="AA25" s="34" t="n">
        <f aca="false">SUM(K25:Z25)</f>
        <v>13152</v>
      </c>
      <c r="AB25" s="35" t="n">
        <f aca="false">SUM(AA25/H25)</f>
        <v>8220</v>
      </c>
      <c r="AC25" s="36" t="n">
        <f aca="false">AB25/$AB$2</f>
        <v>548</v>
      </c>
    </row>
    <row r="26" customFormat="false" ht="19.5" hidden="false" customHeight="true" outlineLevel="0" collapsed="false">
      <c r="A26" s="46" t="s">
        <v>60</v>
      </c>
      <c r="B26" s="38" t="s">
        <v>17</v>
      </c>
      <c r="C26" s="25" t="n">
        <v>802</v>
      </c>
      <c r="D26" s="26" t="s">
        <v>61</v>
      </c>
      <c r="E26" s="27" t="s">
        <v>64</v>
      </c>
      <c r="F26" s="28" t="s">
        <v>48</v>
      </c>
      <c r="G26" s="29" t="n">
        <v>1</v>
      </c>
      <c r="H26" s="30" t="n">
        <v>1</v>
      </c>
      <c r="I26" s="31" t="s">
        <v>22</v>
      </c>
      <c r="J26" s="32" t="n">
        <v>45870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 t="n">
        <f aca="false">SUM(K26:Z26)</f>
        <v>0</v>
      </c>
      <c r="AB26" s="35" t="n">
        <f aca="false">SUM(AA26/H26)</f>
        <v>0</v>
      </c>
      <c r="AC26" s="36" t="n">
        <f aca="false">AB26/$AB$2</f>
        <v>0</v>
      </c>
    </row>
    <row r="27" customFormat="false" ht="19.5" hidden="false" customHeight="true" outlineLevel="0" collapsed="false">
      <c r="A27" s="47" t="s">
        <v>65</v>
      </c>
      <c r="B27" s="38" t="s">
        <v>66</v>
      </c>
      <c r="C27" s="25" t="n">
        <v>903</v>
      </c>
      <c r="D27" s="26" t="s">
        <v>67</v>
      </c>
      <c r="E27" s="27" t="s">
        <v>32</v>
      </c>
      <c r="F27" s="28" t="s">
        <v>33</v>
      </c>
      <c r="G27" s="29" t="s">
        <v>59</v>
      </c>
      <c r="H27" s="30" t="n">
        <v>2.5</v>
      </c>
      <c r="I27" s="31" t="s">
        <v>22</v>
      </c>
      <c r="J27" s="32" t="n">
        <v>45922</v>
      </c>
      <c r="K27" s="33"/>
      <c r="L27" s="33"/>
      <c r="M27" s="33" t="n">
        <v>4772</v>
      </c>
      <c r="N27" s="33" t="n">
        <v>5240</v>
      </c>
      <c r="O27" s="33"/>
      <c r="P27" s="33"/>
      <c r="Q27" s="33"/>
      <c r="R27" s="33"/>
      <c r="S27" s="33"/>
      <c r="T27" s="33"/>
      <c r="U27" s="33" t="n">
        <v>6812</v>
      </c>
      <c r="V27" s="33" t="n">
        <v>6764</v>
      </c>
      <c r="W27" s="33"/>
      <c r="X27" s="33" t="n">
        <v>5697</v>
      </c>
      <c r="Y27" s="33"/>
      <c r="Z27" s="33"/>
      <c r="AA27" s="34" t="n">
        <f aca="false">SUM(K27:Z27)</f>
        <v>29285</v>
      </c>
      <c r="AB27" s="35" t="n">
        <f aca="false">SUM(AA27/H27)</f>
        <v>11714</v>
      </c>
      <c r="AC27" s="36" t="n">
        <f aca="false">AB27/$AB$2</f>
        <v>780.933333333333</v>
      </c>
    </row>
    <row r="28" customFormat="false" ht="19.5" hidden="false" customHeight="true" outlineLevel="0" collapsed="false">
      <c r="A28" s="47" t="s">
        <v>65</v>
      </c>
      <c r="B28" s="38" t="s">
        <v>66</v>
      </c>
      <c r="C28" s="25" t="n">
        <v>903</v>
      </c>
      <c r="D28" s="26" t="s">
        <v>67</v>
      </c>
      <c r="E28" s="27" t="s">
        <v>32</v>
      </c>
      <c r="F28" s="28" t="s">
        <v>33</v>
      </c>
      <c r="G28" s="29" t="n">
        <v>7</v>
      </c>
      <c r="H28" s="30" t="n">
        <v>1</v>
      </c>
      <c r="I28" s="31" t="s">
        <v>22</v>
      </c>
      <c r="J28" s="32" t="n">
        <v>45951</v>
      </c>
      <c r="K28" s="33"/>
      <c r="L28" s="33"/>
      <c r="M28" s="33"/>
      <c r="N28" s="33"/>
      <c r="O28" s="33"/>
      <c r="P28" s="33" t="n">
        <v>4376</v>
      </c>
      <c r="Q28" s="33"/>
      <c r="R28" s="33"/>
      <c r="S28" s="33"/>
      <c r="T28" s="33"/>
      <c r="U28" s="33"/>
      <c r="V28" s="33"/>
      <c r="W28" s="33" t="n">
        <v>8432</v>
      </c>
      <c r="X28" s="33"/>
      <c r="Y28" s="33"/>
      <c r="Z28" s="33"/>
      <c r="AA28" s="34" t="n">
        <f aca="false">SUM(K28:Z28)</f>
        <v>12808</v>
      </c>
      <c r="AB28" s="35" t="n">
        <f aca="false">SUM(AA28/H28)</f>
        <v>12808</v>
      </c>
      <c r="AC28" s="36" t="n">
        <f aca="false">AB28/$AB$2</f>
        <v>853.866666666667</v>
      </c>
    </row>
    <row r="29" customFormat="false" ht="19.5" hidden="false" customHeight="true" outlineLevel="0" collapsed="false">
      <c r="A29" s="47" t="s">
        <v>65</v>
      </c>
      <c r="B29" s="38" t="s">
        <v>66</v>
      </c>
      <c r="C29" s="25" t="n">
        <v>903</v>
      </c>
      <c r="D29" s="26" t="s">
        <v>67</v>
      </c>
      <c r="E29" s="27" t="s">
        <v>68</v>
      </c>
      <c r="F29" s="28" t="s">
        <v>69</v>
      </c>
      <c r="G29" s="29" t="s">
        <v>44</v>
      </c>
      <c r="H29" s="30" t="n">
        <v>2</v>
      </c>
      <c r="I29" s="31" t="s">
        <v>22</v>
      </c>
      <c r="J29" s="32" t="n">
        <v>45891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 t="n">
        <f aca="false">SUM(K29:Z29)</f>
        <v>0</v>
      </c>
      <c r="AB29" s="35" t="n">
        <f aca="false">SUM(AA29/H29)</f>
        <v>0</v>
      </c>
      <c r="AC29" s="36" t="n">
        <f aca="false">AB29/$AB$2</f>
        <v>0</v>
      </c>
    </row>
    <row r="30" customFormat="false" ht="19.5" hidden="false" customHeight="true" outlineLevel="0" collapsed="false">
      <c r="A30" s="48" t="s">
        <v>70</v>
      </c>
      <c r="B30" s="38" t="s">
        <v>26</v>
      </c>
      <c r="C30" s="25" t="n">
        <v>1013</v>
      </c>
      <c r="D30" s="26" t="s">
        <v>71</v>
      </c>
      <c r="E30" s="27" t="s">
        <v>35</v>
      </c>
      <c r="F30" s="28" t="s">
        <v>20</v>
      </c>
      <c r="G30" s="29" t="s">
        <v>72</v>
      </c>
      <c r="H30" s="30" t="n">
        <v>2.28</v>
      </c>
      <c r="I30" s="31" t="s">
        <v>22</v>
      </c>
      <c r="J30" s="32" t="n">
        <v>45841</v>
      </c>
      <c r="K30" s="33"/>
      <c r="L30" s="33" t="n">
        <v>4080</v>
      </c>
      <c r="M30" s="33" t="n">
        <v>402</v>
      </c>
      <c r="N30" s="33"/>
      <c r="O30" s="33" t="n">
        <v>3666</v>
      </c>
      <c r="P30" s="33" t="n">
        <v>514</v>
      </c>
      <c r="Q30" s="33" t="n">
        <v>3596</v>
      </c>
      <c r="R30" s="33" t="n">
        <v>390</v>
      </c>
      <c r="S30" s="33"/>
      <c r="T30" s="33" t="n">
        <v>3420</v>
      </c>
      <c r="U30" s="33"/>
      <c r="V30" s="33" t="n">
        <v>2262</v>
      </c>
      <c r="W30" s="33"/>
      <c r="X30" s="33"/>
      <c r="Y30" s="33" t="n">
        <v>1946</v>
      </c>
      <c r="Z30" s="33"/>
      <c r="AA30" s="34" t="n">
        <f aca="false">SUM(K30:Z30)</f>
        <v>20276</v>
      </c>
      <c r="AB30" s="35" t="n">
        <f aca="false">SUM(AA30/H30)</f>
        <v>8892.98245614035</v>
      </c>
      <c r="AC30" s="36" t="n">
        <f aca="false">AB30/$AB$2</f>
        <v>592.865497076023</v>
      </c>
    </row>
    <row r="31" customFormat="false" ht="19.5" hidden="false" customHeight="true" outlineLevel="0" collapsed="false">
      <c r="A31" s="48" t="s">
        <v>70</v>
      </c>
      <c r="B31" s="38" t="s">
        <v>26</v>
      </c>
      <c r="C31" s="25" t="n">
        <v>1015</v>
      </c>
      <c r="D31" s="26" t="s">
        <v>73</v>
      </c>
      <c r="E31" s="27" t="s">
        <v>74</v>
      </c>
      <c r="F31" s="28" t="s">
        <v>20</v>
      </c>
      <c r="G31" s="29" t="s">
        <v>75</v>
      </c>
      <c r="H31" s="30" t="n">
        <v>3.52</v>
      </c>
      <c r="I31" s="31" t="s">
        <v>22</v>
      </c>
      <c r="J31" s="32" t="n">
        <v>45941</v>
      </c>
      <c r="K31" s="33" t="n">
        <v>1638</v>
      </c>
      <c r="L31" s="33" t="n">
        <v>1466</v>
      </c>
      <c r="M31" s="33"/>
      <c r="N31" s="33" t="n">
        <v>3176</v>
      </c>
      <c r="O31" s="33" t="n">
        <v>4914</v>
      </c>
      <c r="P31" s="33" t="n">
        <v>4260</v>
      </c>
      <c r="Q31" s="33" t="n">
        <v>4420</v>
      </c>
      <c r="R31" s="33" t="n">
        <v>3616</v>
      </c>
      <c r="S31" s="33" t="n">
        <v>3010</v>
      </c>
      <c r="T31" s="33" t="n">
        <v>2242</v>
      </c>
      <c r="U31" s="33" t="n">
        <v>1880</v>
      </c>
      <c r="V31" s="33"/>
      <c r="W31" s="33" t="n">
        <v>2174</v>
      </c>
      <c r="X31" s="33" t="n">
        <v>2248</v>
      </c>
      <c r="Y31" s="33" t="n">
        <v>3166</v>
      </c>
      <c r="Z31" s="33"/>
      <c r="AA31" s="34" t="n">
        <f aca="false">SUM(K31:Z31)</f>
        <v>38210</v>
      </c>
      <c r="AB31" s="35" t="n">
        <f aca="false">SUM(AA31/H31)</f>
        <v>10855.1136363636</v>
      </c>
      <c r="AC31" s="36" t="n">
        <f aca="false">AB31/$AB$2</f>
        <v>723.674242424242</v>
      </c>
    </row>
    <row r="32" customFormat="false" ht="19.5" hidden="false" customHeight="true" outlineLevel="0" collapsed="false">
      <c r="A32" s="48" t="s">
        <v>70</v>
      </c>
      <c r="B32" s="38" t="s">
        <v>26</v>
      </c>
      <c r="C32" s="25" t="n">
        <v>1013</v>
      </c>
      <c r="D32" s="26" t="s">
        <v>71</v>
      </c>
      <c r="E32" s="27" t="s">
        <v>74</v>
      </c>
      <c r="F32" s="28" t="s">
        <v>20</v>
      </c>
      <c r="G32" s="29" t="s">
        <v>76</v>
      </c>
      <c r="H32" s="30" t="n">
        <v>2.11</v>
      </c>
      <c r="I32" s="31" t="s">
        <v>22</v>
      </c>
      <c r="J32" s="32" t="n">
        <v>45854</v>
      </c>
      <c r="K32" s="33" t="n">
        <v>3120</v>
      </c>
      <c r="L32" s="33"/>
      <c r="M32" s="33" t="n">
        <v>1896</v>
      </c>
      <c r="N32" s="33"/>
      <c r="O32" s="33"/>
      <c r="P32" s="33" t="n">
        <v>2748</v>
      </c>
      <c r="Q32" s="33"/>
      <c r="R32" s="33"/>
      <c r="S32" s="33" t="n">
        <v>2356</v>
      </c>
      <c r="T32" s="33" t="n">
        <v>456</v>
      </c>
      <c r="U32" s="33"/>
      <c r="V32" s="33"/>
      <c r="W32" s="33" t="n">
        <v>2222</v>
      </c>
      <c r="X32" s="33"/>
      <c r="Y32" s="33"/>
      <c r="Z32" s="33"/>
      <c r="AA32" s="34" t="n">
        <f aca="false">SUM(K32:Z32)</f>
        <v>12798</v>
      </c>
      <c r="AB32" s="35" t="n">
        <f aca="false">SUM(AA32/H32)</f>
        <v>6065.4028436019</v>
      </c>
      <c r="AC32" s="36" t="n">
        <f aca="false">AB32/$AB$2</f>
        <v>404.36018957346</v>
      </c>
    </row>
    <row r="33" customFormat="false" ht="19.5" hidden="false" customHeight="true" outlineLevel="0" collapsed="false">
      <c r="A33" s="49" t="s">
        <v>77</v>
      </c>
      <c r="B33" s="38" t="s">
        <v>78</v>
      </c>
      <c r="C33" s="25" t="n">
        <v>803</v>
      </c>
      <c r="D33" s="26" t="s">
        <v>79</v>
      </c>
      <c r="E33" s="27" t="s">
        <v>80</v>
      </c>
      <c r="F33" s="28" t="s">
        <v>20</v>
      </c>
      <c r="G33" s="29" t="s">
        <v>81</v>
      </c>
      <c r="H33" s="30" t="n">
        <v>2.25</v>
      </c>
      <c r="I33" s="41" t="s">
        <v>34</v>
      </c>
      <c r="J33" s="32" t="n">
        <v>45753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4" t="n">
        <f aca="false">SUM(K33:Z33)</f>
        <v>0</v>
      </c>
      <c r="AB33" s="35" t="n">
        <f aca="false">SUM(AA33/H33)</f>
        <v>0</v>
      </c>
      <c r="AC33" s="36" t="n">
        <f aca="false">AB33/$AB$2</f>
        <v>0</v>
      </c>
    </row>
    <row r="34" customFormat="false" ht="19.5" hidden="false" customHeight="true" outlineLevel="0" collapsed="false">
      <c r="A34" s="44" t="s">
        <v>56</v>
      </c>
      <c r="B34" s="45" t="s">
        <v>57</v>
      </c>
      <c r="C34" s="25" t="n">
        <v>602</v>
      </c>
      <c r="D34" s="26" t="s">
        <v>82</v>
      </c>
      <c r="E34" s="27" t="s">
        <v>47</v>
      </c>
      <c r="F34" s="28" t="s">
        <v>48</v>
      </c>
      <c r="G34" s="29" t="s">
        <v>75</v>
      </c>
      <c r="H34" s="30" t="n">
        <v>4</v>
      </c>
      <c r="I34" s="31" t="s">
        <v>22</v>
      </c>
      <c r="J34" s="32" t="n">
        <v>45924</v>
      </c>
      <c r="K34" s="33" t="n">
        <v>4519</v>
      </c>
      <c r="L34" s="33"/>
      <c r="M34" s="33"/>
      <c r="N34" s="33" t="n">
        <v>4914</v>
      </c>
      <c r="O34" s="33"/>
      <c r="P34" s="33"/>
      <c r="Q34" s="33"/>
      <c r="R34" s="33"/>
      <c r="S34" s="33"/>
      <c r="T34" s="33" t="n">
        <v>6091</v>
      </c>
      <c r="U34" s="33"/>
      <c r="V34" s="33"/>
      <c r="W34" s="33" t="n">
        <v>5395</v>
      </c>
      <c r="X34" s="33"/>
      <c r="Y34" s="33"/>
      <c r="Z34" s="33"/>
      <c r="AA34" s="34" t="n">
        <f aca="false">SUM(K34:Z34)</f>
        <v>20919</v>
      </c>
      <c r="AB34" s="35" t="n">
        <f aca="false">SUM(AA34/H34)</f>
        <v>5229.75</v>
      </c>
      <c r="AC34" s="36" t="n">
        <f aca="false">AB34/$AB$2</f>
        <v>348.65</v>
      </c>
    </row>
    <row r="35" customFormat="false" ht="19.5" hidden="false" customHeight="true" outlineLevel="0" collapsed="false">
      <c r="A35" s="44" t="s">
        <v>56</v>
      </c>
      <c r="B35" s="45" t="s">
        <v>57</v>
      </c>
      <c r="C35" s="25" t="n">
        <v>602</v>
      </c>
      <c r="D35" s="26" t="s">
        <v>82</v>
      </c>
      <c r="E35" s="27" t="s">
        <v>49</v>
      </c>
      <c r="F35" s="28" t="s">
        <v>48</v>
      </c>
      <c r="G35" s="29" t="s">
        <v>28</v>
      </c>
      <c r="H35" s="30" t="n">
        <v>2.45</v>
      </c>
      <c r="I35" s="31" t="s">
        <v>22</v>
      </c>
      <c r="J35" s="32" t="n">
        <v>45902</v>
      </c>
      <c r="K35" s="33"/>
      <c r="L35" s="33"/>
      <c r="M35" s="33" t="n">
        <v>3089</v>
      </c>
      <c r="N35" s="33"/>
      <c r="O35" s="33"/>
      <c r="P35" s="33" t="n">
        <v>2832</v>
      </c>
      <c r="Q35" s="33"/>
      <c r="R35" s="33"/>
      <c r="S35" s="33" t="n">
        <v>3110</v>
      </c>
      <c r="T35" s="33"/>
      <c r="U35" s="33" t="n">
        <v>2310</v>
      </c>
      <c r="V35" s="33"/>
      <c r="W35" s="33"/>
      <c r="X35" s="33" t="n">
        <v>3343</v>
      </c>
      <c r="Y35" s="33"/>
      <c r="Z35" s="33"/>
      <c r="AA35" s="34" t="n">
        <f aca="false">SUM(K35:Z35)</f>
        <v>14684</v>
      </c>
      <c r="AB35" s="35" t="n">
        <f aca="false">SUM(AA35/H35)</f>
        <v>5993.4693877551</v>
      </c>
      <c r="AC35" s="36" t="n">
        <f aca="false">AB35/$AB$2</f>
        <v>399.56462585034</v>
      </c>
    </row>
    <row r="36" customFormat="false" ht="19.5" hidden="false" customHeight="true" outlineLevel="0" collapsed="false">
      <c r="A36" s="50" t="s">
        <v>83</v>
      </c>
      <c r="B36" s="45" t="s">
        <v>84</v>
      </c>
      <c r="C36" s="25" t="n">
        <v>204</v>
      </c>
      <c r="D36" s="26" t="s">
        <v>85</v>
      </c>
      <c r="E36" s="27" t="s">
        <v>86</v>
      </c>
      <c r="F36" s="28" t="s">
        <v>87</v>
      </c>
      <c r="G36" s="29" t="n">
        <v>1</v>
      </c>
      <c r="H36" s="30" t="n">
        <v>1</v>
      </c>
      <c r="I36" s="31" t="s">
        <v>22</v>
      </c>
      <c r="J36" s="32" t="n">
        <v>45878</v>
      </c>
      <c r="K36" s="33" t="n">
        <v>408</v>
      </c>
      <c r="L36" s="33"/>
      <c r="M36" s="33"/>
      <c r="N36" s="33"/>
      <c r="O36" s="33"/>
      <c r="P36" s="33"/>
      <c r="Q36" s="33"/>
      <c r="R36" s="33"/>
      <c r="S36" s="33" t="n">
        <v>2331</v>
      </c>
      <c r="T36" s="33"/>
      <c r="U36" s="33"/>
      <c r="V36" s="33"/>
      <c r="W36" s="33"/>
      <c r="X36" s="33" t="n">
        <v>1206</v>
      </c>
      <c r="Y36" s="33" t="n">
        <v>1302</v>
      </c>
      <c r="Z36" s="33"/>
      <c r="AA36" s="34" t="n">
        <f aca="false">SUM(K36:Z36)</f>
        <v>5247</v>
      </c>
      <c r="AB36" s="35" t="n">
        <f aca="false">SUM(AA36/H36)</f>
        <v>5247</v>
      </c>
      <c r="AC36" s="36" t="n">
        <f aca="false">AB36/$AB$2</f>
        <v>349.8</v>
      </c>
    </row>
    <row r="37" customFormat="false" ht="19.5" hidden="false" customHeight="true" outlineLevel="0" collapsed="false">
      <c r="A37" s="50" t="s">
        <v>83</v>
      </c>
      <c r="B37" s="45" t="s">
        <v>84</v>
      </c>
      <c r="C37" s="25" t="n">
        <v>204</v>
      </c>
      <c r="D37" s="26" t="s">
        <v>85</v>
      </c>
      <c r="E37" s="27" t="s">
        <v>47</v>
      </c>
      <c r="F37" s="28" t="s">
        <v>48</v>
      </c>
      <c r="G37" s="29" t="s">
        <v>88</v>
      </c>
      <c r="H37" s="30" t="n">
        <v>2.6</v>
      </c>
      <c r="I37" s="31" t="s">
        <v>22</v>
      </c>
      <c r="J37" s="32" t="n">
        <v>45932</v>
      </c>
      <c r="K37" s="33"/>
      <c r="L37" s="33"/>
      <c r="M37" s="33" t="n">
        <v>3724</v>
      </c>
      <c r="N37" s="33"/>
      <c r="O37" s="33"/>
      <c r="P37" s="33"/>
      <c r="Q37" s="33" t="n">
        <v>3363</v>
      </c>
      <c r="R37" s="33" t="n">
        <v>3946</v>
      </c>
      <c r="S37" s="33" t="n">
        <v>648</v>
      </c>
      <c r="T37" s="33" t="n">
        <v>3061</v>
      </c>
      <c r="U37" s="33" t="n">
        <v>2611</v>
      </c>
      <c r="V37" s="33" t="n">
        <v>743</v>
      </c>
      <c r="W37" s="33" t="n">
        <v>4279</v>
      </c>
      <c r="X37" s="33" t="n">
        <v>1045</v>
      </c>
      <c r="Y37" s="33"/>
      <c r="Z37" s="33"/>
      <c r="AA37" s="34" t="n">
        <f aca="false">SUM(K37:Z37)</f>
        <v>23420</v>
      </c>
      <c r="AB37" s="35" t="n">
        <f aca="false">SUM(AA37/H37)</f>
        <v>9007.69230769231</v>
      </c>
      <c r="AC37" s="36" t="n">
        <f aca="false">AB37/$AB$2</f>
        <v>600.51282051282</v>
      </c>
    </row>
    <row r="38" customFormat="false" ht="19.5" hidden="false" customHeight="true" outlineLevel="0" collapsed="false">
      <c r="A38" s="39" t="s">
        <v>29</v>
      </c>
      <c r="B38" s="45" t="s">
        <v>30</v>
      </c>
      <c r="C38" s="25" t="n">
        <v>502</v>
      </c>
      <c r="D38" s="26" t="s">
        <v>31</v>
      </c>
      <c r="E38" s="27" t="s">
        <v>54</v>
      </c>
      <c r="F38" s="28" t="s">
        <v>33</v>
      </c>
      <c r="G38" s="29" t="s">
        <v>89</v>
      </c>
      <c r="H38" s="30" t="n">
        <v>2.5</v>
      </c>
      <c r="I38" s="41" t="s">
        <v>34</v>
      </c>
      <c r="J38" s="32" t="n">
        <v>45805</v>
      </c>
      <c r="K38" s="33" t="n">
        <v>1130</v>
      </c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4" t="n">
        <f aca="false">SUM(K38:Z38)</f>
        <v>1130</v>
      </c>
      <c r="AB38" s="35" t="n">
        <f aca="false">SUM(AA38/H38)</f>
        <v>452</v>
      </c>
      <c r="AC38" s="36" t="n">
        <f aca="false">AB38/$AB$2</f>
        <v>30.1333333333333</v>
      </c>
    </row>
    <row r="39" customFormat="false" ht="19.5" hidden="false" customHeight="true" outlineLevel="0" collapsed="false">
      <c r="A39" s="39" t="s">
        <v>29</v>
      </c>
      <c r="B39" s="45" t="s">
        <v>30</v>
      </c>
      <c r="C39" s="25" t="n">
        <v>502</v>
      </c>
      <c r="D39" s="26" t="s">
        <v>31</v>
      </c>
      <c r="E39" s="27" t="s">
        <v>90</v>
      </c>
      <c r="F39" s="28" t="s">
        <v>33</v>
      </c>
      <c r="G39" s="29" t="s">
        <v>91</v>
      </c>
      <c r="H39" s="30" t="n">
        <v>2</v>
      </c>
      <c r="I39" s="41" t="s">
        <v>34</v>
      </c>
      <c r="J39" s="32" t="n">
        <v>45799</v>
      </c>
      <c r="K39" s="33"/>
      <c r="L39" s="33"/>
      <c r="M39" s="33" t="n">
        <v>3418</v>
      </c>
      <c r="N39" s="33" t="n">
        <v>1646</v>
      </c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4" t="n">
        <f aca="false">SUM(K39:Z39)</f>
        <v>5064</v>
      </c>
      <c r="AB39" s="35" t="n">
        <f aca="false">SUM(AA39/H39)</f>
        <v>2532</v>
      </c>
      <c r="AC39" s="36" t="n">
        <f aca="false">AB39/$AB$2</f>
        <v>168.8</v>
      </c>
    </row>
    <row r="40" customFormat="false" ht="19.5" hidden="false" customHeight="true" outlineLevel="0" collapsed="false">
      <c r="A40" s="24" t="s">
        <v>41</v>
      </c>
      <c r="B40" s="45" t="s">
        <v>42</v>
      </c>
      <c r="C40" s="25" t="n">
        <v>102</v>
      </c>
      <c r="D40" s="26" t="s">
        <v>92</v>
      </c>
      <c r="E40" s="27" t="s">
        <v>38</v>
      </c>
      <c r="F40" s="28" t="s">
        <v>20</v>
      </c>
      <c r="G40" s="29" t="n">
        <v>5</v>
      </c>
      <c r="H40" s="30" t="n">
        <v>1</v>
      </c>
      <c r="I40" s="31" t="s">
        <v>39</v>
      </c>
      <c r="J40" s="32" t="n">
        <v>46057</v>
      </c>
      <c r="K40" s="33" t="n">
        <v>358</v>
      </c>
      <c r="L40" s="33"/>
      <c r="M40" s="33" t="n">
        <v>348</v>
      </c>
      <c r="N40" s="33"/>
      <c r="O40" s="33" t="n">
        <v>595</v>
      </c>
      <c r="P40" s="33"/>
      <c r="Q40" s="33" t="n">
        <v>754</v>
      </c>
      <c r="R40" s="33"/>
      <c r="S40" s="33" t="n">
        <v>1016</v>
      </c>
      <c r="T40" s="33"/>
      <c r="U40" s="33"/>
      <c r="V40" s="33"/>
      <c r="W40" s="33" t="n">
        <v>2665</v>
      </c>
      <c r="X40" s="33"/>
      <c r="Y40" s="33" t="n">
        <v>1236</v>
      </c>
      <c r="Z40" s="33"/>
      <c r="AA40" s="34" t="n">
        <f aca="false">SUM(K40:Z40)</f>
        <v>6972</v>
      </c>
      <c r="AB40" s="35" t="n">
        <f aca="false">SUM(AA40/H40)</f>
        <v>6972</v>
      </c>
      <c r="AC40" s="36" t="n">
        <f aca="false">AB40/$AB$2</f>
        <v>464.8</v>
      </c>
    </row>
    <row r="41" customFormat="false" ht="19.5" hidden="false" customHeight="true" outlineLevel="0" collapsed="false">
      <c r="A41" s="24" t="s">
        <v>41</v>
      </c>
      <c r="B41" s="45" t="s">
        <v>42</v>
      </c>
      <c r="C41" s="25" t="n">
        <v>102</v>
      </c>
      <c r="D41" s="26" t="s">
        <v>92</v>
      </c>
      <c r="E41" s="27" t="s">
        <v>47</v>
      </c>
      <c r="F41" s="28" t="s">
        <v>48</v>
      </c>
      <c r="G41" s="29" t="s">
        <v>44</v>
      </c>
      <c r="H41" s="30" t="n">
        <v>2.25</v>
      </c>
      <c r="I41" s="31" t="s">
        <v>22</v>
      </c>
      <c r="J41" s="32" t="n">
        <v>45872</v>
      </c>
      <c r="K41" s="33"/>
      <c r="L41" s="33"/>
      <c r="M41" s="33"/>
      <c r="N41" s="33" t="n">
        <v>3809</v>
      </c>
      <c r="O41" s="33"/>
      <c r="P41" s="33"/>
      <c r="Q41" s="33" t="n">
        <v>2467</v>
      </c>
      <c r="R41" s="33"/>
      <c r="S41" s="33"/>
      <c r="T41" s="33"/>
      <c r="U41" s="33" t="n">
        <v>4102</v>
      </c>
      <c r="V41" s="33" t="n">
        <v>2183</v>
      </c>
      <c r="W41" s="33"/>
      <c r="X41" s="33"/>
      <c r="Y41" s="33" t="n">
        <v>3296</v>
      </c>
      <c r="Z41" s="33"/>
      <c r="AA41" s="34" t="n">
        <f aca="false">SUM(K41:Z41)</f>
        <v>15857</v>
      </c>
      <c r="AB41" s="35" t="n">
        <f aca="false">SUM(AA41/H41)</f>
        <v>7047.55555555556</v>
      </c>
      <c r="AC41" s="36" t="n">
        <f aca="false">AB41/$AB$2</f>
        <v>469.837037037037</v>
      </c>
    </row>
    <row r="42" customFormat="false" ht="19.5" hidden="false" customHeight="true" outlineLevel="0" collapsed="false">
      <c r="A42" s="37" t="s">
        <v>25</v>
      </c>
      <c r="B42" s="45" t="s">
        <v>26</v>
      </c>
      <c r="C42" s="25" t="n">
        <v>402</v>
      </c>
      <c r="D42" s="26" t="s">
        <v>93</v>
      </c>
      <c r="E42" s="27" t="s">
        <v>32</v>
      </c>
      <c r="F42" s="28" t="s">
        <v>33</v>
      </c>
      <c r="G42" s="29" t="s">
        <v>44</v>
      </c>
      <c r="H42" s="30" t="n">
        <v>2</v>
      </c>
      <c r="I42" s="31" t="s">
        <v>22</v>
      </c>
      <c r="J42" s="32" t="n">
        <v>45907</v>
      </c>
      <c r="K42" s="33"/>
      <c r="L42" s="33" t="n">
        <v>2616</v>
      </c>
      <c r="M42" s="33" t="n">
        <v>1080</v>
      </c>
      <c r="N42" s="33"/>
      <c r="O42" s="33" t="n">
        <v>1612</v>
      </c>
      <c r="P42" s="33"/>
      <c r="Q42" s="33"/>
      <c r="R42" s="33" t="n">
        <v>4094</v>
      </c>
      <c r="S42" s="33"/>
      <c r="T42" s="33"/>
      <c r="U42" s="33"/>
      <c r="V42" s="33" t="n">
        <v>2604</v>
      </c>
      <c r="W42" s="33" t="n">
        <v>4459</v>
      </c>
      <c r="X42" s="33"/>
      <c r="Y42" s="33"/>
      <c r="Z42" s="33"/>
      <c r="AA42" s="34" t="n">
        <f aca="false">SUM(K42:Z42)</f>
        <v>16465</v>
      </c>
      <c r="AB42" s="35" t="n">
        <f aca="false">SUM(AA42/H42)</f>
        <v>8232.5</v>
      </c>
      <c r="AC42" s="36" t="n">
        <f aca="false">AB42/$AB$2</f>
        <v>548.833333333333</v>
      </c>
    </row>
    <row r="43" customFormat="false" ht="19.5" hidden="false" customHeight="true" outlineLevel="0" collapsed="false">
      <c r="A43" s="37" t="s">
        <v>25</v>
      </c>
      <c r="B43" s="45" t="s">
        <v>26</v>
      </c>
      <c r="C43" s="25" t="n">
        <v>402</v>
      </c>
      <c r="D43" s="26" t="s">
        <v>93</v>
      </c>
      <c r="E43" s="27" t="s">
        <v>47</v>
      </c>
      <c r="F43" s="28" t="s">
        <v>48</v>
      </c>
      <c r="G43" s="29" t="s">
        <v>89</v>
      </c>
      <c r="H43" s="30" t="n">
        <v>2</v>
      </c>
      <c r="I43" s="31" t="s">
        <v>22</v>
      </c>
      <c r="J43" s="32" t="n">
        <v>45893</v>
      </c>
      <c r="K43" s="33"/>
      <c r="L43" s="33"/>
      <c r="M43" s="33"/>
      <c r="N43" s="33" t="n">
        <v>1880</v>
      </c>
      <c r="O43" s="33"/>
      <c r="P43" s="33"/>
      <c r="Q43" s="33" t="n">
        <v>2348</v>
      </c>
      <c r="R43" s="33"/>
      <c r="S43" s="33"/>
      <c r="T43" s="33"/>
      <c r="U43" s="33" t="n">
        <v>4498</v>
      </c>
      <c r="V43" s="33"/>
      <c r="W43" s="33"/>
      <c r="X43" s="33" t="n">
        <v>2530</v>
      </c>
      <c r="Y43" s="33"/>
      <c r="Z43" s="33"/>
      <c r="AA43" s="34" t="n">
        <f aca="false">SUM(K43:Z43)</f>
        <v>11256</v>
      </c>
      <c r="AB43" s="35" t="n">
        <f aca="false">SUM(AA43/H43)</f>
        <v>5628</v>
      </c>
      <c r="AC43" s="36" t="n">
        <f aca="false">AB43/$AB$2</f>
        <v>375.2</v>
      </c>
    </row>
    <row r="44" customFormat="false" ht="19.5" hidden="false" customHeight="true" outlineLevel="0" collapsed="false">
      <c r="A44" s="24" t="s">
        <v>41</v>
      </c>
      <c r="B44" s="45" t="s">
        <v>42</v>
      </c>
      <c r="C44" s="25" t="n">
        <v>104</v>
      </c>
      <c r="D44" s="26" t="s">
        <v>94</v>
      </c>
      <c r="E44" s="27" t="s">
        <v>95</v>
      </c>
      <c r="F44" s="28" t="s">
        <v>20</v>
      </c>
      <c r="G44" s="29" t="n">
        <v>1</v>
      </c>
      <c r="H44" s="30" t="n">
        <v>1.3</v>
      </c>
      <c r="I44" s="31" t="s">
        <v>39</v>
      </c>
      <c r="J44" s="32" t="n">
        <v>46073</v>
      </c>
      <c r="K44" s="33"/>
      <c r="L44" s="33"/>
      <c r="M44" s="33"/>
      <c r="N44" s="33"/>
      <c r="O44" s="33"/>
      <c r="P44" s="33"/>
      <c r="Q44" s="33"/>
      <c r="R44" s="33"/>
      <c r="S44" s="33" t="n">
        <v>455</v>
      </c>
      <c r="T44" s="33"/>
      <c r="U44" s="33"/>
      <c r="V44" s="33" t="n">
        <v>887</v>
      </c>
      <c r="W44" s="33"/>
      <c r="X44" s="33"/>
      <c r="Y44" s="33" t="n">
        <v>913</v>
      </c>
      <c r="Z44" s="33"/>
      <c r="AA44" s="34" t="n">
        <f aca="false">SUM(K44:Z44)</f>
        <v>2255</v>
      </c>
      <c r="AB44" s="35" t="n">
        <f aca="false">SUM(AA44/H44)</f>
        <v>1734.61538461538</v>
      </c>
      <c r="AC44" s="36" t="n">
        <f aca="false">AB44/$AB$2</f>
        <v>115.641025641026</v>
      </c>
    </row>
    <row r="45" customFormat="false" ht="19.5" hidden="false" customHeight="true" outlineLevel="0" collapsed="false">
      <c r="A45" s="24" t="s">
        <v>41</v>
      </c>
      <c r="B45" s="45" t="s">
        <v>42</v>
      </c>
      <c r="C45" s="25" t="n">
        <v>104</v>
      </c>
      <c r="D45" s="26" t="s">
        <v>94</v>
      </c>
      <c r="E45" s="27" t="s">
        <v>49</v>
      </c>
      <c r="F45" s="28" t="s">
        <v>48</v>
      </c>
      <c r="G45" s="29" t="n">
        <v>0</v>
      </c>
      <c r="H45" s="30" t="n">
        <v>1</v>
      </c>
      <c r="I45" s="31" t="s">
        <v>22</v>
      </c>
      <c r="J45" s="32" t="n">
        <v>45964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4" t="n">
        <f aca="false">SUM(K45:Z45)</f>
        <v>0</v>
      </c>
      <c r="AB45" s="35" t="n">
        <f aca="false">SUM(AA45/H45)</f>
        <v>0</v>
      </c>
      <c r="AC45" s="36" t="n">
        <f aca="false">AB45/$AB$2</f>
        <v>0</v>
      </c>
    </row>
    <row r="46" customFormat="false" ht="19.5" hidden="false" customHeight="true" outlineLevel="0" collapsed="false">
      <c r="A46" s="24" t="s">
        <v>41</v>
      </c>
      <c r="B46" s="45" t="s">
        <v>42</v>
      </c>
      <c r="C46" s="25" t="n">
        <v>104</v>
      </c>
      <c r="D46" s="26" t="s">
        <v>94</v>
      </c>
      <c r="E46" s="27" t="s">
        <v>54</v>
      </c>
      <c r="F46" s="28" t="s">
        <v>33</v>
      </c>
      <c r="G46" s="29" t="n">
        <v>9</v>
      </c>
      <c r="H46" s="30" t="n">
        <v>1.5</v>
      </c>
      <c r="I46" s="41" t="s">
        <v>34</v>
      </c>
      <c r="J46" s="32" t="n">
        <v>45808</v>
      </c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4" t="n">
        <f aca="false">SUM(K46:Z46)</f>
        <v>0</v>
      </c>
      <c r="AB46" s="35" t="n">
        <f aca="false">SUM(AA46/H46)</f>
        <v>0</v>
      </c>
      <c r="AC46" s="36" t="n">
        <f aca="false">AB46/$AB$2</f>
        <v>0</v>
      </c>
    </row>
    <row r="47" customFormat="false" ht="19.5" hidden="false" customHeight="true" outlineLevel="0" collapsed="false">
      <c r="A47" s="24" t="s">
        <v>41</v>
      </c>
      <c r="B47" s="45" t="s">
        <v>42</v>
      </c>
      <c r="C47" s="25" t="n">
        <v>104</v>
      </c>
      <c r="D47" s="26" t="s">
        <v>94</v>
      </c>
      <c r="E47" s="27" t="s">
        <v>32</v>
      </c>
      <c r="F47" s="28" t="s">
        <v>20</v>
      </c>
      <c r="G47" s="29" t="s">
        <v>81</v>
      </c>
      <c r="H47" s="30" t="n">
        <v>2.5</v>
      </c>
      <c r="I47" s="31" t="s">
        <v>39</v>
      </c>
      <c r="J47" s="32" t="n">
        <v>46088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 t="n">
        <v>369</v>
      </c>
      <c r="W47" s="33"/>
      <c r="X47" s="33"/>
      <c r="Y47" s="33" t="n">
        <v>1026</v>
      </c>
      <c r="Z47" s="33"/>
      <c r="AA47" s="34" t="n">
        <f aca="false">SUM(K47:Z47)</f>
        <v>1395</v>
      </c>
      <c r="AB47" s="35" t="n">
        <f aca="false">SUM(AA47/H47)</f>
        <v>558</v>
      </c>
      <c r="AC47" s="36" t="n">
        <f aca="false">AB47/$AB$2</f>
        <v>37.2</v>
      </c>
    </row>
    <row r="48" customFormat="false" ht="19.5" hidden="false" customHeight="true" outlineLevel="0" collapsed="false">
      <c r="A48" s="51" t="s">
        <v>96</v>
      </c>
      <c r="B48" s="45" t="s">
        <v>66</v>
      </c>
      <c r="C48" s="25" t="n">
        <v>901</v>
      </c>
      <c r="D48" s="26" t="s">
        <v>97</v>
      </c>
      <c r="E48" s="27" t="s">
        <v>54</v>
      </c>
      <c r="F48" s="28" t="s">
        <v>33</v>
      </c>
      <c r="G48" s="29" t="s">
        <v>98</v>
      </c>
      <c r="H48" s="30" t="n">
        <v>2</v>
      </c>
      <c r="I48" s="41" t="s">
        <v>34</v>
      </c>
      <c r="J48" s="32" t="n">
        <v>45780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4" t="n">
        <f aca="false">SUM(K48:Z48)</f>
        <v>0</v>
      </c>
      <c r="AB48" s="35" t="n">
        <f aca="false">SUM(AA48/H48)</f>
        <v>0</v>
      </c>
      <c r="AC48" s="36" t="n">
        <f aca="false">AB48/$AB$2</f>
        <v>0</v>
      </c>
    </row>
    <row r="49" customFormat="false" ht="19.5" hidden="false" customHeight="true" outlineLevel="0" collapsed="false">
      <c r="A49" s="51" t="s">
        <v>96</v>
      </c>
      <c r="B49" s="45" t="s">
        <v>66</v>
      </c>
      <c r="C49" s="25" t="n">
        <v>901</v>
      </c>
      <c r="D49" s="26" t="s">
        <v>97</v>
      </c>
      <c r="E49" s="27" t="s">
        <v>99</v>
      </c>
      <c r="F49" s="28" t="s">
        <v>48</v>
      </c>
      <c r="G49" s="29" t="n">
        <v>13</v>
      </c>
      <c r="H49" s="30" t="n">
        <v>1</v>
      </c>
      <c r="I49" s="31" t="s">
        <v>22</v>
      </c>
      <c r="J49" s="32" t="n">
        <v>45910</v>
      </c>
      <c r="K49" s="33"/>
      <c r="L49" s="33"/>
      <c r="M49" s="33" t="n">
        <v>6616</v>
      </c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4" t="n">
        <f aca="false">SUM(K49:Z49)</f>
        <v>6616</v>
      </c>
      <c r="AB49" s="35" t="n">
        <f aca="false">SUM(AA49/H49)</f>
        <v>6616</v>
      </c>
      <c r="AC49" s="36" t="n">
        <f aca="false">AB49/$AB$2</f>
        <v>441.066666666667</v>
      </c>
    </row>
    <row r="50" customFormat="false" ht="19.5" hidden="false" customHeight="true" outlineLevel="0" collapsed="false">
      <c r="A50" s="51" t="s">
        <v>96</v>
      </c>
      <c r="B50" s="45" t="s">
        <v>66</v>
      </c>
      <c r="C50" s="25" t="n">
        <v>901</v>
      </c>
      <c r="D50" s="26" t="s">
        <v>97</v>
      </c>
      <c r="E50" s="27" t="s">
        <v>54</v>
      </c>
      <c r="F50" s="28" t="s">
        <v>33</v>
      </c>
      <c r="G50" s="29" t="s">
        <v>100</v>
      </c>
      <c r="H50" s="30" t="n">
        <v>2</v>
      </c>
      <c r="I50" s="41" t="s">
        <v>34</v>
      </c>
      <c r="J50" s="32" t="n">
        <v>45791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4" t="n">
        <f aca="false">SUM(K50:Z50)</f>
        <v>0</v>
      </c>
      <c r="AB50" s="35" t="n">
        <f aca="false">SUM(AA50/H50)</f>
        <v>0</v>
      </c>
      <c r="AC50" s="36" t="n">
        <f aca="false">AB50/$AB$2</f>
        <v>0</v>
      </c>
    </row>
    <row r="51" customFormat="false" ht="19.5" hidden="false" customHeight="true" outlineLevel="0" collapsed="false">
      <c r="A51" s="49" t="s">
        <v>101</v>
      </c>
      <c r="B51" s="45" t="s">
        <v>102</v>
      </c>
      <c r="C51" s="25" t="n">
        <v>1003</v>
      </c>
      <c r="D51" s="26" t="s">
        <v>103</v>
      </c>
      <c r="E51" s="27" t="s">
        <v>64</v>
      </c>
      <c r="F51" s="28" t="s">
        <v>48</v>
      </c>
      <c r="G51" s="52" t="s">
        <v>104</v>
      </c>
      <c r="H51" s="30" t="n">
        <v>8</v>
      </c>
      <c r="I51" s="41" t="s">
        <v>34</v>
      </c>
      <c r="J51" s="32" t="n">
        <v>45345</v>
      </c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4" t="n">
        <f aca="false">SUM(K51:Z51)</f>
        <v>0</v>
      </c>
      <c r="AB51" s="35" t="n">
        <f aca="false">SUM(AA51/H51)</f>
        <v>0</v>
      </c>
      <c r="AC51" s="36" t="n">
        <f aca="false">AB51/$AB$2</f>
        <v>0</v>
      </c>
    </row>
    <row r="52" customFormat="false" ht="19.5" hidden="false" customHeight="true" outlineLevel="0" collapsed="false">
      <c r="A52" s="53" t="s">
        <v>105</v>
      </c>
      <c r="B52" s="45" t="s">
        <v>78</v>
      </c>
      <c r="C52" s="25" t="n">
        <v>902</v>
      </c>
      <c r="D52" s="26" t="s">
        <v>106</v>
      </c>
      <c r="E52" s="27" t="s">
        <v>38</v>
      </c>
      <c r="F52" s="28" t="s">
        <v>20</v>
      </c>
      <c r="G52" s="29" t="n">
        <v>6</v>
      </c>
      <c r="H52" s="30" t="n">
        <v>0.8</v>
      </c>
      <c r="I52" s="31" t="s">
        <v>22</v>
      </c>
      <c r="J52" s="32" t="n">
        <v>45918</v>
      </c>
      <c r="K52" s="33"/>
      <c r="L52" s="33"/>
      <c r="M52" s="33"/>
      <c r="N52" s="33"/>
      <c r="O52" s="33" t="n">
        <v>1870</v>
      </c>
      <c r="P52" s="33"/>
      <c r="Q52" s="33"/>
      <c r="R52" s="33" t="n">
        <v>1896</v>
      </c>
      <c r="S52" s="33"/>
      <c r="T52" s="33"/>
      <c r="U52" s="33"/>
      <c r="V52" s="33"/>
      <c r="W52" s="33"/>
      <c r="X52" s="33" t="n">
        <v>2368</v>
      </c>
      <c r="Y52" s="33"/>
      <c r="Z52" s="33"/>
      <c r="AA52" s="34" t="n">
        <f aca="false">SUM(K52:Z52)</f>
        <v>6134</v>
      </c>
      <c r="AB52" s="35" t="n">
        <f aca="false">SUM(AA52/H52)</f>
        <v>7667.5</v>
      </c>
      <c r="AC52" s="36" t="n">
        <f aca="false">AB52/$AB$2</f>
        <v>511.166666666667</v>
      </c>
    </row>
    <row r="53" customFormat="false" ht="19.5" hidden="false" customHeight="true" outlineLevel="0" collapsed="false">
      <c r="A53" s="53" t="s">
        <v>105</v>
      </c>
      <c r="B53" s="45" t="s">
        <v>78</v>
      </c>
      <c r="C53" s="25" t="n">
        <v>902</v>
      </c>
      <c r="D53" s="26" t="s">
        <v>106</v>
      </c>
      <c r="E53" s="27" t="s">
        <v>23</v>
      </c>
      <c r="F53" s="28" t="s">
        <v>20</v>
      </c>
      <c r="G53" s="29" t="s">
        <v>107</v>
      </c>
      <c r="H53" s="30" t="n">
        <v>3.1</v>
      </c>
      <c r="I53" s="31" t="s">
        <v>22</v>
      </c>
      <c r="J53" s="32" t="n">
        <v>45935</v>
      </c>
      <c r="K53" s="33"/>
      <c r="L53" s="33"/>
      <c r="M53" s="33" t="n">
        <v>1718</v>
      </c>
      <c r="N53" s="33"/>
      <c r="O53" s="33"/>
      <c r="P53" s="33"/>
      <c r="Q53" s="33" t="n">
        <v>2330</v>
      </c>
      <c r="R53" s="33" t="n">
        <v>2734</v>
      </c>
      <c r="S53" s="33"/>
      <c r="T53" s="33"/>
      <c r="U53" s="33" t="n">
        <v>5186</v>
      </c>
      <c r="V53" s="33"/>
      <c r="W53" s="33" t="n">
        <v>1623</v>
      </c>
      <c r="X53" s="33" t="n">
        <v>2420</v>
      </c>
      <c r="Y53" s="33"/>
      <c r="Z53" s="33"/>
      <c r="AA53" s="34" t="n">
        <f aca="false">SUM(K53:Z53)</f>
        <v>16011</v>
      </c>
      <c r="AB53" s="35" t="n">
        <f aca="false">SUM(AA53/H53)</f>
        <v>5164.83870967742</v>
      </c>
      <c r="AC53" s="36" t="n">
        <f aca="false">AB53/$AB$2</f>
        <v>344.322580645161</v>
      </c>
    </row>
    <row r="54" customFormat="false" ht="19.5" hidden="false" customHeight="true" outlineLevel="0" collapsed="false">
      <c r="A54" s="53" t="s">
        <v>105</v>
      </c>
      <c r="B54" s="45" t="s">
        <v>78</v>
      </c>
      <c r="C54" s="25" t="n">
        <v>901</v>
      </c>
      <c r="D54" s="26" t="s">
        <v>106</v>
      </c>
      <c r="E54" s="27" t="s">
        <v>32</v>
      </c>
      <c r="F54" s="28" t="s">
        <v>33</v>
      </c>
      <c r="G54" s="29" t="n">
        <v>2</v>
      </c>
      <c r="H54" s="30" t="n">
        <v>1</v>
      </c>
      <c r="I54" s="31" t="s">
        <v>22</v>
      </c>
      <c r="J54" s="32" t="n">
        <v>45955</v>
      </c>
      <c r="K54" s="33"/>
      <c r="L54" s="33"/>
      <c r="M54" s="33"/>
      <c r="N54" s="33"/>
      <c r="O54" s="33" t="n">
        <v>2902</v>
      </c>
      <c r="P54" s="33"/>
      <c r="Q54" s="33"/>
      <c r="R54" s="33"/>
      <c r="S54" s="33"/>
      <c r="T54" s="33"/>
      <c r="U54" s="33"/>
      <c r="V54" s="33"/>
      <c r="W54" s="33" t="n">
        <v>6503</v>
      </c>
      <c r="X54" s="33"/>
      <c r="Y54" s="33"/>
      <c r="Z54" s="33"/>
      <c r="AA54" s="34" t="n">
        <f aca="false">SUM(K54:Z54)</f>
        <v>9405</v>
      </c>
      <c r="AB54" s="35" t="n">
        <f aca="false">SUM(AA54/H54)</f>
        <v>9405</v>
      </c>
      <c r="AC54" s="36" t="n">
        <f aca="false">AB54/$AB$2</f>
        <v>627</v>
      </c>
    </row>
    <row r="55" customFormat="false" ht="19.5" hidden="false" customHeight="true" outlineLevel="0" collapsed="false">
      <c r="A55" s="53" t="s">
        <v>105</v>
      </c>
      <c r="B55" s="45" t="s">
        <v>78</v>
      </c>
      <c r="C55" s="25" t="n">
        <v>902</v>
      </c>
      <c r="D55" s="26" t="s">
        <v>106</v>
      </c>
      <c r="E55" s="27" t="s">
        <v>23</v>
      </c>
      <c r="F55" s="28" t="s">
        <v>20</v>
      </c>
      <c r="G55" s="29" t="n">
        <v>5</v>
      </c>
      <c r="H55" s="30" t="n">
        <v>0.9</v>
      </c>
      <c r="I55" s="31" t="s">
        <v>22</v>
      </c>
      <c r="J55" s="32" t="n">
        <v>45917</v>
      </c>
      <c r="K55" s="33"/>
      <c r="L55" s="33"/>
      <c r="M55" s="33"/>
      <c r="N55" s="33"/>
      <c r="O55" s="33" t="n">
        <v>1714</v>
      </c>
      <c r="P55" s="33"/>
      <c r="Q55" s="33"/>
      <c r="R55" s="33"/>
      <c r="S55" s="33"/>
      <c r="T55" s="33"/>
      <c r="U55" s="33"/>
      <c r="V55" s="33" t="n">
        <v>3798</v>
      </c>
      <c r="W55" s="33"/>
      <c r="X55" s="33"/>
      <c r="Y55" s="33"/>
      <c r="Z55" s="33"/>
      <c r="AA55" s="34" t="n">
        <f aca="false">SUM(K55:Z55)</f>
        <v>5512</v>
      </c>
      <c r="AB55" s="35" t="n">
        <f aca="false">SUM(AA55/H55)</f>
        <v>6124.44444444444</v>
      </c>
      <c r="AC55" s="36" t="n">
        <f aca="false">AB55/$AB$2</f>
        <v>408.296296296296</v>
      </c>
    </row>
    <row r="56" customFormat="false" ht="19.5" hidden="false" customHeight="true" outlineLevel="0" collapsed="false">
      <c r="A56" s="53" t="s">
        <v>105</v>
      </c>
      <c r="B56" s="45" t="s">
        <v>78</v>
      </c>
      <c r="C56" s="25" t="n">
        <v>902</v>
      </c>
      <c r="D56" s="26" t="s">
        <v>106</v>
      </c>
      <c r="E56" s="27" t="s">
        <v>108</v>
      </c>
      <c r="F56" s="28" t="s">
        <v>20</v>
      </c>
      <c r="G56" s="29" t="s">
        <v>28</v>
      </c>
      <c r="H56" s="30" t="n">
        <v>1.5</v>
      </c>
      <c r="I56" s="31" t="s">
        <v>22</v>
      </c>
      <c r="J56" s="32" t="n">
        <v>45908</v>
      </c>
      <c r="K56" s="33"/>
      <c r="L56" s="33"/>
      <c r="M56" s="33" t="n">
        <v>2438</v>
      </c>
      <c r="N56" s="33"/>
      <c r="O56" s="33"/>
      <c r="P56" s="33"/>
      <c r="Q56" s="33" t="n">
        <v>4012</v>
      </c>
      <c r="R56" s="33"/>
      <c r="S56" s="33"/>
      <c r="T56" s="33"/>
      <c r="U56" s="33"/>
      <c r="V56" s="33" t="n">
        <v>3564</v>
      </c>
      <c r="W56" s="33"/>
      <c r="X56" s="33"/>
      <c r="Y56" s="33"/>
      <c r="Z56" s="33"/>
      <c r="AA56" s="34" t="n">
        <f aca="false">SUM(K56:Z56)</f>
        <v>10014</v>
      </c>
      <c r="AB56" s="35" t="n">
        <f aca="false">SUM(AA56/H56)</f>
        <v>6676</v>
      </c>
      <c r="AC56" s="36" t="n">
        <f aca="false">AB56/$AB$2</f>
        <v>445.066666666667</v>
      </c>
    </row>
    <row r="57" customFormat="false" ht="19.5" hidden="false" customHeight="true" outlineLevel="0" collapsed="false">
      <c r="A57" s="46" t="s">
        <v>60</v>
      </c>
      <c r="B57" s="45" t="s">
        <v>78</v>
      </c>
      <c r="C57" s="25" t="n">
        <v>907</v>
      </c>
      <c r="D57" s="26" t="s">
        <v>109</v>
      </c>
      <c r="E57" s="27" t="s">
        <v>19</v>
      </c>
      <c r="F57" s="28" t="s">
        <v>20</v>
      </c>
      <c r="G57" s="29" t="s">
        <v>52</v>
      </c>
      <c r="H57" s="30" t="n">
        <v>3.5</v>
      </c>
      <c r="I57" s="54" t="s">
        <v>22</v>
      </c>
      <c r="J57" s="32" t="n">
        <v>45941</v>
      </c>
      <c r="K57" s="33" t="n">
        <v>12234</v>
      </c>
      <c r="L57" s="33" t="n">
        <v>12074</v>
      </c>
      <c r="M57" s="33"/>
      <c r="N57" s="33"/>
      <c r="O57" s="33"/>
      <c r="P57" s="33" t="n">
        <v>10550</v>
      </c>
      <c r="Q57" s="33"/>
      <c r="R57" s="33"/>
      <c r="S57" s="33"/>
      <c r="T57" s="33" t="n">
        <v>14555</v>
      </c>
      <c r="U57" s="33" t="n">
        <v>1790</v>
      </c>
      <c r="V57" s="33"/>
      <c r="W57" s="33"/>
      <c r="X57" s="33"/>
      <c r="Y57" s="33" t="n">
        <v>7610</v>
      </c>
      <c r="Z57" s="33"/>
      <c r="AA57" s="34" t="n">
        <f aca="false">SUM(K57:Z57)</f>
        <v>58813</v>
      </c>
      <c r="AB57" s="35" t="n">
        <f aca="false">SUM(AA57/H57)</f>
        <v>16803.7142857143</v>
      </c>
      <c r="AC57" s="36" t="n">
        <f aca="false">AB57/$AB$2</f>
        <v>1120.24761904762</v>
      </c>
    </row>
    <row r="58" customFormat="false" ht="19.5" hidden="false" customHeight="true" outlineLevel="0" collapsed="false">
      <c r="A58" s="46" t="s">
        <v>60</v>
      </c>
      <c r="B58" s="45" t="s">
        <v>78</v>
      </c>
      <c r="C58" s="25" t="n">
        <v>907</v>
      </c>
      <c r="D58" s="26" t="s">
        <v>109</v>
      </c>
      <c r="E58" s="27" t="s">
        <v>32</v>
      </c>
      <c r="F58" s="28" t="s">
        <v>33</v>
      </c>
      <c r="G58" s="29" t="s">
        <v>110</v>
      </c>
      <c r="H58" s="30" t="n">
        <v>3</v>
      </c>
      <c r="I58" s="31" t="s">
        <v>22</v>
      </c>
      <c r="J58" s="32" t="n">
        <v>45959</v>
      </c>
      <c r="K58" s="33" t="n">
        <v>8946</v>
      </c>
      <c r="L58" s="33"/>
      <c r="M58" s="33"/>
      <c r="N58" s="33" t="n">
        <v>7156</v>
      </c>
      <c r="O58" s="33"/>
      <c r="P58" s="33"/>
      <c r="Q58" s="33"/>
      <c r="R58" s="33" t="n">
        <v>5076</v>
      </c>
      <c r="S58" s="33" t="n">
        <v>8463</v>
      </c>
      <c r="T58" s="33"/>
      <c r="U58" s="33"/>
      <c r="V58" s="33" t="n">
        <v>7910</v>
      </c>
      <c r="W58" s="33" t="n">
        <v>14241</v>
      </c>
      <c r="X58" s="33"/>
      <c r="Y58" s="33"/>
      <c r="Z58" s="33"/>
      <c r="AA58" s="34" t="n">
        <f aca="false">SUM(K58:Z58)</f>
        <v>51792</v>
      </c>
      <c r="AB58" s="35" t="n">
        <f aca="false">SUM(AA58/H58)</f>
        <v>17264</v>
      </c>
      <c r="AC58" s="36" t="n">
        <f aca="false">AB58/$AB$2</f>
        <v>1150.93333333333</v>
      </c>
    </row>
    <row r="59" customFormat="false" ht="19.5" hidden="false" customHeight="true" outlineLevel="0" collapsed="false">
      <c r="A59" s="46" t="s">
        <v>60</v>
      </c>
      <c r="B59" s="45" t="s">
        <v>78</v>
      </c>
      <c r="C59" s="25" t="n">
        <v>907</v>
      </c>
      <c r="D59" s="26" t="s">
        <v>109</v>
      </c>
      <c r="E59" s="27" t="s">
        <v>19</v>
      </c>
      <c r="F59" s="28" t="s">
        <v>33</v>
      </c>
      <c r="G59" s="29" t="n">
        <v>0</v>
      </c>
      <c r="H59" s="30" t="n">
        <v>1</v>
      </c>
      <c r="I59" s="31" t="s">
        <v>22</v>
      </c>
      <c r="J59" s="55" t="n">
        <v>45928</v>
      </c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4" t="n">
        <f aca="false">SUM(K59:Z59)</f>
        <v>0</v>
      </c>
      <c r="AB59" s="35" t="n">
        <f aca="false">SUM(AA59/H59)</f>
        <v>0</v>
      </c>
      <c r="AC59" s="36" t="n">
        <f aca="false">AB59/$AB$2</f>
        <v>0</v>
      </c>
    </row>
    <row r="60" customFormat="false" ht="19.5" hidden="false" customHeight="true" outlineLevel="0" collapsed="false">
      <c r="A60" s="46" t="s">
        <v>60</v>
      </c>
      <c r="B60" s="45" t="s">
        <v>78</v>
      </c>
      <c r="C60" s="25" t="n">
        <v>907</v>
      </c>
      <c r="D60" s="26" t="s">
        <v>109</v>
      </c>
      <c r="E60" s="27" t="s">
        <v>95</v>
      </c>
      <c r="F60" s="28" t="s">
        <v>33</v>
      </c>
      <c r="G60" s="29" t="n">
        <v>13</v>
      </c>
      <c r="H60" s="30" t="n">
        <v>1</v>
      </c>
      <c r="I60" s="31" t="s">
        <v>22</v>
      </c>
      <c r="J60" s="55" t="n">
        <v>45960</v>
      </c>
      <c r="K60" s="33"/>
      <c r="L60" s="33"/>
      <c r="M60" s="33" t="n">
        <v>1334</v>
      </c>
      <c r="N60" s="33" t="n">
        <v>3360</v>
      </c>
      <c r="O60" s="33"/>
      <c r="P60" s="33"/>
      <c r="Q60" s="33"/>
      <c r="R60" s="33"/>
      <c r="S60" s="33" t="n">
        <v>5524</v>
      </c>
      <c r="T60" s="33"/>
      <c r="U60" s="33"/>
      <c r="V60" s="33"/>
      <c r="W60" s="33" t="n">
        <v>4739</v>
      </c>
      <c r="X60" s="33" t="n">
        <v>892</v>
      </c>
      <c r="Y60" s="33"/>
      <c r="Z60" s="33"/>
      <c r="AA60" s="34" t="n">
        <f aca="false">SUM(K60:Z60)</f>
        <v>15849</v>
      </c>
      <c r="AB60" s="35" t="n">
        <f aca="false">SUM(AA60/H60)</f>
        <v>15849</v>
      </c>
      <c r="AC60" s="36" t="n">
        <f aca="false">AB60/$AB$2</f>
        <v>1056.6</v>
      </c>
    </row>
    <row r="61" customFormat="false" ht="19.5" hidden="false" customHeight="true" outlineLevel="0" collapsed="false">
      <c r="A61" s="46" t="s">
        <v>60</v>
      </c>
      <c r="B61" s="45" t="s">
        <v>78</v>
      </c>
      <c r="C61" s="25" t="n">
        <v>907</v>
      </c>
      <c r="D61" s="26" t="s">
        <v>109</v>
      </c>
      <c r="E61" s="27" t="s">
        <v>32</v>
      </c>
      <c r="F61" s="28" t="s">
        <v>33</v>
      </c>
      <c r="G61" s="29" t="s">
        <v>89</v>
      </c>
      <c r="H61" s="30" t="n">
        <v>2.8</v>
      </c>
      <c r="I61" s="31" t="s">
        <v>22</v>
      </c>
      <c r="J61" s="32" t="n">
        <v>45928</v>
      </c>
      <c r="K61" s="33" t="n">
        <v>2734</v>
      </c>
      <c r="L61" s="33" t="n">
        <v>4562</v>
      </c>
      <c r="M61" s="33" t="n">
        <v>4362</v>
      </c>
      <c r="N61" s="33"/>
      <c r="O61" s="33"/>
      <c r="P61" s="33"/>
      <c r="Q61" s="33" t="n">
        <v>7730</v>
      </c>
      <c r="R61" s="33" t="n">
        <v>2734</v>
      </c>
      <c r="S61" s="33"/>
      <c r="T61" s="33"/>
      <c r="U61" s="33" t="n">
        <v>13550</v>
      </c>
      <c r="V61" s="33" t="n">
        <v>6175</v>
      </c>
      <c r="W61" s="33"/>
      <c r="X61" s="33"/>
      <c r="Y61" s="33"/>
      <c r="Z61" s="33"/>
      <c r="AA61" s="34" t="n">
        <f aca="false">SUM(K61:Z61)</f>
        <v>41847</v>
      </c>
      <c r="AB61" s="35" t="n">
        <f aca="false">SUM(AA61/H61)</f>
        <v>14945.3571428571</v>
      </c>
      <c r="AC61" s="36" t="n">
        <f aca="false">AB61/$AB$2</f>
        <v>996.357142857143</v>
      </c>
    </row>
    <row r="62" customFormat="false" ht="19.5" hidden="false" customHeight="true" outlineLevel="0" collapsed="false">
      <c r="A62" s="42" t="s">
        <v>45</v>
      </c>
      <c r="B62" s="45" t="s">
        <v>30</v>
      </c>
      <c r="C62" s="25" t="n">
        <v>304</v>
      </c>
      <c r="D62" s="26" t="s">
        <v>111</v>
      </c>
      <c r="E62" s="27" t="s">
        <v>32</v>
      </c>
      <c r="F62" s="28" t="s">
        <v>33</v>
      </c>
      <c r="G62" s="29" t="s">
        <v>63</v>
      </c>
      <c r="H62" s="30" t="n">
        <v>2</v>
      </c>
      <c r="I62" s="41" t="s">
        <v>39</v>
      </c>
      <c r="J62" s="32" t="n">
        <v>46067</v>
      </c>
      <c r="K62" s="33"/>
      <c r="L62" s="33"/>
      <c r="M62" s="33" t="n">
        <v>1234</v>
      </c>
      <c r="N62" s="33"/>
      <c r="O62" s="33"/>
      <c r="P62" s="33" t="n">
        <v>1658</v>
      </c>
      <c r="Q62" s="33"/>
      <c r="R62" s="33"/>
      <c r="S62" s="33" t="n">
        <v>2104</v>
      </c>
      <c r="T62" s="33"/>
      <c r="U62" s="33"/>
      <c r="V62" s="33" t="n">
        <v>2160</v>
      </c>
      <c r="W62" s="33"/>
      <c r="X62" s="33"/>
      <c r="Y62" s="33" t="n">
        <v>2096</v>
      </c>
      <c r="Z62" s="33"/>
      <c r="AA62" s="34" t="n">
        <f aca="false">SUM(K62:Z62)</f>
        <v>9252</v>
      </c>
      <c r="AB62" s="35" t="n">
        <f aca="false">SUM(AA62/H62)</f>
        <v>4626</v>
      </c>
      <c r="AC62" s="36" t="n">
        <f aca="false">AB62/$AB$2</f>
        <v>308.4</v>
      </c>
    </row>
    <row r="63" customFormat="false" ht="19.5" hidden="false" customHeight="true" outlineLevel="0" collapsed="false">
      <c r="A63" s="42" t="s">
        <v>45</v>
      </c>
      <c r="B63" s="45" t="s">
        <v>30</v>
      </c>
      <c r="C63" s="25" t="n">
        <v>304</v>
      </c>
      <c r="D63" s="26" t="s">
        <v>111</v>
      </c>
      <c r="E63" s="27" t="s">
        <v>112</v>
      </c>
      <c r="F63" s="28" t="s">
        <v>48</v>
      </c>
      <c r="G63" s="29" t="n">
        <v>4</v>
      </c>
      <c r="H63" s="30" t="n">
        <v>1.1</v>
      </c>
      <c r="I63" s="41" t="s">
        <v>34</v>
      </c>
      <c r="J63" s="32" t="n">
        <v>45788</v>
      </c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4" t="n">
        <f aca="false">SUM(K63:Z63)</f>
        <v>0</v>
      </c>
      <c r="AB63" s="35" t="n">
        <f aca="false">SUM(AA63/H63)</f>
        <v>0</v>
      </c>
      <c r="AC63" s="36" t="n">
        <f aca="false">AB63/$AB$2</f>
        <v>0</v>
      </c>
    </row>
    <row r="64" customFormat="false" ht="19.5" hidden="false" customHeight="true" outlineLevel="0" collapsed="false">
      <c r="A64" s="42" t="s">
        <v>45</v>
      </c>
      <c r="B64" s="45" t="s">
        <v>30</v>
      </c>
      <c r="C64" s="25" t="n">
        <v>304</v>
      </c>
      <c r="D64" s="26" t="s">
        <v>111</v>
      </c>
      <c r="E64" s="27" t="s">
        <v>32</v>
      </c>
      <c r="F64" s="28" t="s">
        <v>33</v>
      </c>
      <c r="G64" s="29" t="n">
        <v>1</v>
      </c>
      <c r="H64" s="30" t="n">
        <v>0.8</v>
      </c>
      <c r="I64" s="41" t="s">
        <v>34</v>
      </c>
      <c r="J64" s="32" t="n">
        <v>45731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4" t="n">
        <f aca="false">SUM(K64:Z64)</f>
        <v>0</v>
      </c>
      <c r="AB64" s="35" t="n">
        <f aca="false">SUM(AA64/H64)</f>
        <v>0</v>
      </c>
      <c r="AC64" s="36" t="n">
        <f aca="false">AB64/$AB$2</f>
        <v>0</v>
      </c>
    </row>
    <row r="65" customFormat="false" ht="19.5" hidden="false" customHeight="true" outlineLevel="0" collapsed="false">
      <c r="A65" s="42" t="s">
        <v>45</v>
      </c>
      <c r="B65" s="45" t="s">
        <v>30</v>
      </c>
      <c r="C65" s="25" t="n">
        <v>304</v>
      </c>
      <c r="D65" s="26" t="s">
        <v>111</v>
      </c>
      <c r="E65" s="27" t="s">
        <v>113</v>
      </c>
      <c r="F65" s="28" t="s">
        <v>48</v>
      </c>
      <c r="G65" s="29" t="n">
        <v>3</v>
      </c>
      <c r="H65" s="30" t="n">
        <v>1</v>
      </c>
      <c r="I65" s="41" t="s">
        <v>34</v>
      </c>
      <c r="J65" s="32" t="n">
        <v>45790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4" t="n">
        <f aca="false">SUM(K65:Z65)</f>
        <v>0</v>
      </c>
      <c r="AB65" s="35" t="n">
        <f aca="false">SUM(AA65/H65)</f>
        <v>0</v>
      </c>
      <c r="AC65" s="36" t="n">
        <f aca="false">AB65/$AB$2</f>
        <v>0</v>
      </c>
    </row>
    <row r="66" customFormat="false" ht="19.5" hidden="false" customHeight="true" outlineLevel="0" collapsed="false">
      <c r="A66" s="42" t="s">
        <v>45</v>
      </c>
      <c r="B66" s="45" t="s">
        <v>30</v>
      </c>
      <c r="C66" s="25" t="n">
        <v>304</v>
      </c>
      <c r="D66" s="26" t="s">
        <v>111</v>
      </c>
      <c r="E66" s="27" t="s">
        <v>114</v>
      </c>
      <c r="F66" s="28" t="s">
        <v>48</v>
      </c>
      <c r="G66" s="29" t="n">
        <v>2</v>
      </c>
      <c r="H66" s="30" t="n">
        <v>0.75</v>
      </c>
      <c r="I66" s="41" t="s">
        <v>34</v>
      </c>
      <c r="J66" s="32" t="n">
        <v>45399</v>
      </c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4" t="n">
        <f aca="false">SUM(K66:Z66)</f>
        <v>0</v>
      </c>
      <c r="AB66" s="35" t="n">
        <f aca="false">SUM(AA66/H66)</f>
        <v>0</v>
      </c>
      <c r="AC66" s="36" t="n">
        <f aca="false">AB66/$AB$2</f>
        <v>0</v>
      </c>
    </row>
    <row r="67" customFormat="false" ht="19.5" hidden="false" customHeight="true" outlineLevel="0" collapsed="false">
      <c r="A67" s="42" t="s">
        <v>45</v>
      </c>
      <c r="B67" s="45" t="s">
        <v>30</v>
      </c>
      <c r="C67" s="25" t="n">
        <v>304</v>
      </c>
      <c r="D67" s="26" t="s">
        <v>111</v>
      </c>
      <c r="E67" s="27" t="s">
        <v>54</v>
      </c>
      <c r="F67" s="28" t="s">
        <v>33</v>
      </c>
      <c r="G67" s="56" t="s">
        <v>115</v>
      </c>
      <c r="H67" s="30" t="n">
        <v>1.5</v>
      </c>
      <c r="I67" s="41" t="s">
        <v>34</v>
      </c>
      <c r="J67" s="32" t="n">
        <v>45744</v>
      </c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4" t="n">
        <f aca="false">SUM(K67:Z67)</f>
        <v>0</v>
      </c>
      <c r="AB67" s="35" t="n">
        <f aca="false">SUM(AA67/H67)</f>
        <v>0</v>
      </c>
      <c r="AC67" s="36" t="n">
        <f aca="false">AB67/$AB$2</f>
        <v>0</v>
      </c>
    </row>
    <row r="68" customFormat="false" ht="19.5" hidden="false" customHeight="true" outlineLevel="0" collapsed="false">
      <c r="A68" s="39" t="s">
        <v>29</v>
      </c>
      <c r="B68" s="45" t="s">
        <v>30</v>
      </c>
      <c r="C68" s="25" t="n">
        <v>501</v>
      </c>
      <c r="D68" s="26" t="s">
        <v>116</v>
      </c>
      <c r="E68" s="27" t="s">
        <v>32</v>
      </c>
      <c r="F68" s="28" t="s">
        <v>33</v>
      </c>
      <c r="G68" s="29" t="s">
        <v>63</v>
      </c>
      <c r="H68" s="30" t="n">
        <v>1.72</v>
      </c>
      <c r="I68" s="31" t="s">
        <v>22</v>
      </c>
      <c r="J68" s="32" t="n">
        <v>45862</v>
      </c>
      <c r="K68" s="33"/>
      <c r="L68" s="33" t="n">
        <v>516</v>
      </c>
      <c r="M68" s="33"/>
      <c r="N68" s="33"/>
      <c r="O68" s="33"/>
      <c r="P68" s="33"/>
      <c r="Q68" s="33"/>
      <c r="R68" s="33" t="n">
        <v>2362</v>
      </c>
      <c r="S68" s="33" t="n">
        <v>1435</v>
      </c>
      <c r="T68" s="33" t="n">
        <v>1732</v>
      </c>
      <c r="U68" s="33"/>
      <c r="V68" s="33"/>
      <c r="W68" s="33"/>
      <c r="X68" s="33"/>
      <c r="Y68" s="33"/>
      <c r="Z68" s="33"/>
      <c r="AA68" s="34" t="n">
        <f aca="false">SUM(K68:Z68)</f>
        <v>6045</v>
      </c>
      <c r="AB68" s="35" t="n">
        <f aca="false">SUM(AA68/H68)</f>
        <v>3514.53488372093</v>
      </c>
      <c r="AC68" s="36" t="n">
        <f aca="false">AB68/$AB$2</f>
        <v>234.302325581395</v>
      </c>
    </row>
    <row r="69" customFormat="false" ht="19.5" hidden="false" customHeight="true" outlineLevel="0" collapsed="false">
      <c r="A69" s="39" t="s">
        <v>29</v>
      </c>
      <c r="B69" s="45" t="s">
        <v>30</v>
      </c>
      <c r="C69" s="25" t="n">
        <v>501</v>
      </c>
      <c r="D69" s="26" t="s">
        <v>116</v>
      </c>
      <c r="E69" s="27" t="s">
        <v>38</v>
      </c>
      <c r="F69" s="28" t="s">
        <v>20</v>
      </c>
      <c r="G69" s="29" t="s">
        <v>98</v>
      </c>
      <c r="H69" s="30" t="n">
        <v>1.86</v>
      </c>
      <c r="I69" s="31" t="s">
        <v>22</v>
      </c>
      <c r="J69" s="32" t="n">
        <v>45875</v>
      </c>
      <c r="K69" s="33" t="n">
        <v>2478</v>
      </c>
      <c r="L69" s="33"/>
      <c r="M69" s="33"/>
      <c r="N69" s="33"/>
      <c r="O69" s="33"/>
      <c r="P69" s="33" t="n">
        <v>1818</v>
      </c>
      <c r="Q69" s="33" t="n">
        <v>2400</v>
      </c>
      <c r="R69" s="33"/>
      <c r="S69" s="33"/>
      <c r="T69" s="33"/>
      <c r="U69" s="33"/>
      <c r="V69" s="33"/>
      <c r="W69" s="33"/>
      <c r="X69" s="33" t="n">
        <v>1963</v>
      </c>
      <c r="Y69" s="33" t="n">
        <v>1920</v>
      </c>
      <c r="Z69" s="33"/>
      <c r="AA69" s="34" t="n">
        <f aca="false">SUM(K69:Z69)</f>
        <v>10579</v>
      </c>
      <c r="AB69" s="35" t="n">
        <f aca="false">SUM(AA69/H69)</f>
        <v>5687.63440860215</v>
      </c>
      <c r="AC69" s="36" t="n">
        <f aca="false">AB69/$AB$2</f>
        <v>379.175627240143</v>
      </c>
    </row>
    <row r="70" customFormat="false" ht="19.5" hidden="false" customHeight="true" outlineLevel="0" collapsed="false">
      <c r="A70" s="39" t="s">
        <v>29</v>
      </c>
      <c r="B70" s="45" t="s">
        <v>30</v>
      </c>
      <c r="C70" s="25" t="n">
        <v>501</v>
      </c>
      <c r="D70" s="26" t="s">
        <v>116</v>
      </c>
      <c r="E70" s="27" t="s">
        <v>74</v>
      </c>
      <c r="F70" s="28" t="s">
        <v>20</v>
      </c>
      <c r="G70" s="29" t="n">
        <v>11</v>
      </c>
      <c r="H70" s="30" t="n">
        <v>1.1</v>
      </c>
      <c r="I70" s="31" t="s">
        <v>22</v>
      </c>
      <c r="J70" s="32" t="n">
        <v>45886</v>
      </c>
      <c r="K70" s="33" t="n">
        <v>138</v>
      </c>
      <c r="L70" s="33" t="n">
        <v>1594</v>
      </c>
      <c r="M70" s="33"/>
      <c r="N70" s="33"/>
      <c r="O70" s="33" t="n">
        <v>630</v>
      </c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4" t="n">
        <f aca="false">SUM(K70:Z70)</f>
        <v>2362</v>
      </c>
      <c r="AB70" s="35" t="n">
        <f aca="false">SUM(AA70/H70)</f>
        <v>2147.27272727273</v>
      </c>
      <c r="AC70" s="36" t="n">
        <f aca="false">AB70/$AB$2</f>
        <v>143.151515151515</v>
      </c>
    </row>
    <row r="71" customFormat="false" ht="19.5" hidden="false" customHeight="true" outlineLevel="0" collapsed="false">
      <c r="A71" s="44" t="s">
        <v>56</v>
      </c>
      <c r="B71" s="45" t="s">
        <v>57</v>
      </c>
      <c r="C71" s="25" t="n">
        <v>601</v>
      </c>
      <c r="D71" s="26" t="s">
        <v>117</v>
      </c>
      <c r="E71" s="27" t="s">
        <v>32</v>
      </c>
      <c r="F71" s="28" t="s">
        <v>33</v>
      </c>
      <c r="G71" s="29" t="s">
        <v>118</v>
      </c>
      <c r="H71" s="30" t="n">
        <v>3.25</v>
      </c>
      <c r="I71" s="31" t="s">
        <v>22</v>
      </c>
      <c r="J71" s="32" t="n">
        <v>45839</v>
      </c>
      <c r="K71" s="33"/>
      <c r="L71" s="33" t="n">
        <v>2230</v>
      </c>
      <c r="M71" s="33"/>
      <c r="N71" s="33" t="n">
        <v>1811</v>
      </c>
      <c r="O71" s="33"/>
      <c r="P71" s="33" t="n">
        <v>769</v>
      </c>
      <c r="Q71" s="33" t="n">
        <v>4103</v>
      </c>
      <c r="R71" s="33"/>
      <c r="S71" s="33"/>
      <c r="T71" s="33" t="n">
        <v>3016</v>
      </c>
      <c r="U71" s="33" t="n">
        <v>1151</v>
      </c>
      <c r="V71" s="33"/>
      <c r="W71" s="33"/>
      <c r="X71" s="33" t="n">
        <v>2198</v>
      </c>
      <c r="Y71" s="33"/>
      <c r="Z71" s="33"/>
      <c r="AA71" s="34" t="n">
        <f aca="false">SUM(K71:Z71)</f>
        <v>15278</v>
      </c>
      <c r="AB71" s="35" t="n">
        <f aca="false">SUM(AA71/H71)</f>
        <v>4700.92307692308</v>
      </c>
      <c r="AC71" s="36" t="n">
        <f aca="false">AB71/$AB$2</f>
        <v>313.394871794872</v>
      </c>
    </row>
    <row r="72" customFormat="false" ht="19.5" hidden="false" customHeight="true" outlineLevel="0" collapsed="false">
      <c r="A72" s="44" t="s">
        <v>56</v>
      </c>
      <c r="B72" s="45" t="s">
        <v>57</v>
      </c>
      <c r="C72" s="25" t="n">
        <v>601</v>
      </c>
      <c r="D72" s="26" t="s">
        <v>117</v>
      </c>
      <c r="E72" s="27" t="s">
        <v>23</v>
      </c>
      <c r="F72" s="28" t="s">
        <v>20</v>
      </c>
      <c r="G72" s="29" t="s">
        <v>36</v>
      </c>
      <c r="H72" s="30" t="n">
        <v>2.25</v>
      </c>
      <c r="I72" s="31" t="s">
        <v>22</v>
      </c>
      <c r="J72" s="32" t="n">
        <v>45862</v>
      </c>
      <c r="K72" s="33" t="n">
        <v>2116</v>
      </c>
      <c r="L72" s="33" t="n">
        <v>990</v>
      </c>
      <c r="M72" s="33"/>
      <c r="N72" s="33" t="n">
        <v>1213</v>
      </c>
      <c r="O72" s="33"/>
      <c r="P72" s="33"/>
      <c r="Q72" s="33"/>
      <c r="R72" s="33" t="n">
        <v>2911</v>
      </c>
      <c r="S72" s="33"/>
      <c r="T72" s="33"/>
      <c r="U72" s="33" t="n">
        <v>2494</v>
      </c>
      <c r="V72" s="33"/>
      <c r="W72" s="33"/>
      <c r="X72" s="33"/>
      <c r="Y72" s="33" t="n">
        <v>1902</v>
      </c>
      <c r="Z72" s="33"/>
      <c r="AA72" s="34" t="n">
        <f aca="false">SUM(K72:Z72)</f>
        <v>11626</v>
      </c>
      <c r="AB72" s="35" t="n">
        <f aca="false">SUM(AA72/H72)</f>
        <v>5167.11111111111</v>
      </c>
      <c r="AC72" s="36" t="n">
        <f aca="false">AB72/$AB$2</f>
        <v>344.474074074074</v>
      </c>
    </row>
    <row r="73" customFormat="false" ht="19.5" hidden="false" customHeight="true" outlineLevel="0" collapsed="false">
      <c r="A73" s="44" t="s">
        <v>56</v>
      </c>
      <c r="B73" s="45" t="s">
        <v>57</v>
      </c>
      <c r="C73" s="25" t="n">
        <v>601</v>
      </c>
      <c r="D73" s="26" t="s">
        <v>117</v>
      </c>
      <c r="E73" s="27" t="s">
        <v>19</v>
      </c>
      <c r="F73" s="28" t="s">
        <v>20</v>
      </c>
      <c r="G73" s="29" t="n">
        <v>13</v>
      </c>
      <c r="H73" s="30" t="n">
        <v>1</v>
      </c>
      <c r="I73" s="31" t="s">
        <v>22</v>
      </c>
      <c r="J73" s="32" t="n">
        <v>45886</v>
      </c>
      <c r="K73" s="33"/>
      <c r="L73" s="33"/>
      <c r="M73" s="33" t="n">
        <v>1302</v>
      </c>
      <c r="N73" s="33"/>
      <c r="O73" s="33"/>
      <c r="P73" s="33"/>
      <c r="Q73" s="33"/>
      <c r="R73" s="33" t="n">
        <v>2565</v>
      </c>
      <c r="S73" s="33"/>
      <c r="T73" s="33"/>
      <c r="U73" s="33"/>
      <c r="V73" s="33"/>
      <c r="W73" s="33" t="n">
        <v>2857</v>
      </c>
      <c r="X73" s="33"/>
      <c r="Y73" s="33"/>
      <c r="Z73" s="33"/>
      <c r="AA73" s="34" t="n">
        <f aca="false">SUM(K73:Z73)</f>
        <v>6724</v>
      </c>
      <c r="AB73" s="35" t="n">
        <f aca="false">SUM(AA73/H73)</f>
        <v>6724</v>
      </c>
      <c r="AC73" s="36" t="n">
        <f aca="false">AB73/$AB$2</f>
        <v>448.266666666667</v>
      </c>
    </row>
    <row r="74" customFormat="false" ht="19.5" hidden="false" customHeight="true" outlineLevel="0" collapsed="false">
      <c r="A74" s="23" t="s">
        <v>16</v>
      </c>
      <c r="B74" s="45" t="s">
        <v>17</v>
      </c>
      <c r="C74" s="25" t="n">
        <v>702</v>
      </c>
      <c r="D74" s="26" t="s">
        <v>119</v>
      </c>
      <c r="E74" s="27" t="s">
        <v>32</v>
      </c>
      <c r="F74" s="28" t="s">
        <v>33</v>
      </c>
      <c r="G74" s="29" t="s">
        <v>120</v>
      </c>
      <c r="H74" s="30" t="n">
        <v>2</v>
      </c>
      <c r="I74" s="41" t="s">
        <v>34</v>
      </c>
      <c r="J74" s="32" t="n">
        <v>45773</v>
      </c>
      <c r="K74" s="33" t="n">
        <v>3029</v>
      </c>
      <c r="L74" s="33"/>
      <c r="M74" s="33"/>
      <c r="N74" s="33" t="n">
        <v>2392</v>
      </c>
      <c r="O74" s="33"/>
      <c r="P74" s="33"/>
      <c r="Q74" s="33" t="n">
        <v>2754</v>
      </c>
      <c r="R74" s="33"/>
      <c r="S74" s="33"/>
      <c r="T74" s="33" t="n">
        <v>7096</v>
      </c>
      <c r="U74" s="33"/>
      <c r="V74" s="33"/>
      <c r="W74" s="33"/>
      <c r="X74" s="33" t="n">
        <v>6622</v>
      </c>
      <c r="Y74" s="33"/>
      <c r="Z74" s="33"/>
      <c r="AA74" s="34" t="n">
        <f aca="false">SUM(K74:Z74)</f>
        <v>21893</v>
      </c>
      <c r="AB74" s="35" t="n">
        <f aca="false">SUM(AA74/H74)</f>
        <v>10946.5</v>
      </c>
      <c r="AC74" s="36" t="n">
        <f aca="false">AB74/$AB$2</f>
        <v>729.766666666667</v>
      </c>
    </row>
    <row r="75" customFormat="false" ht="19.5" hidden="false" customHeight="true" outlineLevel="0" collapsed="false">
      <c r="A75" s="23" t="s">
        <v>16</v>
      </c>
      <c r="B75" s="45" t="s">
        <v>17</v>
      </c>
      <c r="C75" s="25" t="n">
        <v>702</v>
      </c>
      <c r="D75" s="26" t="s">
        <v>119</v>
      </c>
      <c r="E75" s="27" t="s">
        <v>47</v>
      </c>
      <c r="F75" s="28" t="s">
        <v>48</v>
      </c>
      <c r="G75" s="29" t="s">
        <v>121</v>
      </c>
      <c r="H75" s="30" t="n">
        <v>2.15</v>
      </c>
      <c r="I75" s="31" t="s">
        <v>22</v>
      </c>
      <c r="J75" s="32" t="n">
        <v>45914</v>
      </c>
      <c r="K75" s="33"/>
      <c r="L75" s="33"/>
      <c r="M75" s="33" t="n">
        <v>5998</v>
      </c>
      <c r="N75" s="33"/>
      <c r="O75" s="33"/>
      <c r="P75" s="33" t="n">
        <v>5011</v>
      </c>
      <c r="Q75" s="33"/>
      <c r="R75" s="33"/>
      <c r="S75" s="33" t="n">
        <v>5768</v>
      </c>
      <c r="T75" s="33"/>
      <c r="U75" s="33"/>
      <c r="V75" s="33"/>
      <c r="W75" s="33" t="n">
        <v>6399</v>
      </c>
      <c r="X75" s="33"/>
      <c r="Y75" s="33"/>
      <c r="Z75" s="33"/>
      <c r="AA75" s="34" t="n">
        <f aca="false">SUM(K75:Z75)</f>
        <v>23176</v>
      </c>
      <c r="AB75" s="35" t="n">
        <f aca="false">SUM(AA75/H75)</f>
        <v>10779.5348837209</v>
      </c>
      <c r="AC75" s="36" t="n">
        <f aca="false">AB75/$AB$2</f>
        <v>718.635658914729</v>
      </c>
    </row>
    <row r="76" customFormat="false" ht="19.5" hidden="false" customHeight="true" outlineLevel="0" collapsed="false">
      <c r="A76" s="23" t="s">
        <v>16</v>
      </c>
      <c r="B76" s="45" t="s">
        <v>17</v>
      </c>
      <c r="C76" s="25" t="n">
        <v>702</v>
      </c>
      <c r="D76" s="26" t="s">
        <v>119</v>
      </c>
      <c r="E76" s="27" t="s">
        <v>54</v>
      </c>
      <c r="F76" s="28" t="s">
        <v>33</v>
      </c>
      <c r="G76" s="29" t="s">
        <v>44</v>
      </c>
      <c r="H76" s="30" t="n">
        <v>1.85</v>
      </c>
      <c r="I76" s="41" t="s">
        <v>34</v>
      </c>
      <c r="J76" s="32" t="n">
        <v>45773</v>
      </c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4" t="n">
        <f aca="false">SUM(K76:Z76)</f>
        <v>0</v>
      </c>
      <c r="AB76" s="35" t="n">
        <f aca="false">SUM(AA76/H76)</f>
        <v>0</v>
      </c>
      <c r="AC76" s="36" t="n">
        <f aca="false">AB76/$AB$2</f>
        <v>0</v>
      </c>
    </row>
    <row r="77" customFormat="false" ht="19.5" hidden="false" customHeight="true" outlineLevel="0" collapsed="false">
      <c r="A77" s="23" t="s">
        <v>16</v>
      </c>
      <c r="B77" s="45" t="s">
        <v>17</v>
      </c>
      <c r="C77" s="25" t="n">
        <v>702</v>
      </c>
      <c r="D77" s="57" t="s">
        <v>119</v>
      </c>
      <c r="E77" s="58" t="s">
        <v>32</v>
      </c>
      <c r="F77" s="59" t="s">
        <v>33</v>
      </c>
      <c r="G77" s="60" t="s">
        <v>122</v>
      </c>
      <c r="H77" s="61" t="n">
        <v>2</v>
      </c>
      <c r="I77" s="62" t="s">
        <v>34</v>
      </c>
      <c r="J77" s="63" t="n">
        <v>45752</v>
      </c>
      <c r="K77" s="64"/>
      <c r="L77" s="64"/>
      <c r="M77" s="64"/>
      <c r="N77" s="64"/>
      <c r="O77" s="64" t="n">
        <v>886</v>
      </c>
      <c r="P77" s="64"/>
      <c r="Q77" s="64" t="n">
        <v>319</v>
      </c>
      <c r="R77" s="64" t="n">
        <v>2766</v>
      </c>
      <c r="S77" s="64"/>
      <c r="T77" s="64"/>
      <c r="U77" s="64" t="n">
        <v>3847</v>
      </c>
      <c r="V77" s="64"/>
      <c r="W77" s="64"/>
      <c r="X77" s="64"/>
      <c r="Y77" s="64" t="n">
        <v>4490</v>
      </c>
      <c r="Z77" s="64"/>
      <c r="AA77" s="34" t="n">
        <f aca="false">SUM(K77:Z77)</f>
        <v>12308</v>
      </c>
      <c r="AB77" s="35" t="n">
        <f aca="false">SUM(AA77/H77)</f>
        <v>6154</v>
      </c>
      <c r="AC77" s="36" t="n">
        <f aca="false">AB77/$AB$2</f>
        <v>410.266666666667</v>
      </c>
    </row>
    <row r="78" customFormat="false" ht="19.5" hidden="false" customHeight="true" outlineLevel="0" collapsed="false">
      <c r="A78" s="50" t="s">
        <v>83</v>
      </c>
      <c r="B78" s="45" t="s">
        <v>84</v>
      </c>
      <c r="C78" s="25" t="n">
        <v>201</v>
      </c>
      <c r="D78" s="26" t="s">
        <v>123</v>
      </c>
      <c r="E78" s="27" t="s">
        <v>95</v>
      </c>
      <c r="F78" s="28" t="s">
        <v>33</v>
      </c>
      <c r="G78" s="29" t="s">
        <v>122</v>
      </c>
      <c r="H78" s="30" t="n">
        <v>1.95</v>
      </c>
      <c r="I78" s="31" t="s">
        <v>22</v>
      </c>
      <c r="J78" s="32" t="n">
        <v>45875</v>
      </c>
      <c r="K78" s="33"/>
      <c r="L78" s="33"/>
      <c r="M78" s="33" t="n">
        <v>2846</v>
      </c>
      <c r="N78" s="33" t="n">
        <v>2978</v>
      </c>
      <c r="O78" s="33"/>
      <c r="P78" s="33"/>
      <c r="Q78" s="33"/>
      <c r="R78" s="33" t="n">
        <v>2444</v>
      </c>
      <c r="S78" s="33" t="n">
        <v>2120</v>
      </c>
      <c r="T78" s="33" t="n">
        <v>1166</v>
      </c>
      <c r="U78" s="33" t="n">
        <v>446</v>
      </c>
      <c r="V78" s="33" t="n">
        <v>1182</v>
      </c>
      <c r="W78" s="33" t="n">
        <v>4241</v>
      </c>
      <c r="X78" s="33" t="n">
        <v>2124</v>
      </c>
      <c r="Y78" s="33"/>
      <c r="Z78" s="33"/>
      <c r="AA78" s="34" t="n">
        <f aca="false">SUM(K78:Z78)</f>
        <v>19547</v>
      </c>
      <c r="AB78" s="35" t="n">
        <f aca="false">SUM(AA78/H78)</f>
        <v>10024.1025641026</v>
      </c>
      <c r="AC78" s="36" t="n">
        <f aca="false">AB78/$AB$2</f>
        <v>668.273504273504</v>
      </c>
    </row>
    <row r="79" customFormat="false" ht="19.5" hidden="false" customHeight="true" outlineLevel="0" collapsed="false">
      <c r="A79" s="24" t="s">
        <v>41</v>
      </c>
      <c r="B79" s="45" t="s">
        <v>42</v>
      </c>
      <c r="C79" s="25" t="n">
        <v>103</v>
      </c>
      <c r="D79" s="26" t="s">
        <v>124</v>
      </c>
      <c r="E79" s="27" t="s">
        <v>19</v>
      </c>
      <c r="F79" s="28" t="s">
        <v>20</v>
      </c>
      <c r="G79" s="29" t="n">
        <v>11</v>
      </c>
      <c r="H79" s="30" t="n">
        <v>0.82</v>
      </c>
      <c r="I79" s="41" t="s">
        <v>34</v>
      </c>
      <c r="J79" s="32" t="n">
        <v>45820</v>
      </c>
      <c r="K79" s="33"/>
      <c r="L79" s="33"/>
      <c r="M79" s="33"/>
      <c r="N79" s="33" t="n">
        <v>468</v>
      </c>
      <c r="O79" s="33"/>
      <c r="P79" s="33"/>
      <c r="Q79" s="33" t="n">
        <v>585</v>
      </c>
      <c r="R79" s="33"/>
      <c r="S79" s="33"/>
      <c r="T79" s="33"/>
      <c r="U79" s="33"/>
      <c r="V79" s="33"/>
      <c r="W79" s="33"/>
      <c r="X79" s="33"/>
      <c r="Y79" s="33"/>
      <c r="Z79" s="33"/>
      <c r="AA79" s="34" t="n">
        <f aca="false">SUM(K79:Z79)</f>
        <v>1053</v>
      </c>
      <c r="AB79" s="35" t="n">
        <f aca="false">SUM(AA79/H79)</f>
        <v>1284.14634146341</v>
      </c>
      <c r="AC79" s="36" t="n">
        <f aca="false">AB79/$AB$2</f>
        <v>85.609756097561</v>
      </c>
    </row>
    <row r="80" customFormat="false" ht="19.5" hidden="false" customHeight="true" outlineLevel="0" collapsed="false">
      <c r="A80" s="39" t="s">
        <v>29</v>
      </c>
      <c r="B80" s="45" t="s">
        <v>26</v>
      </c>
      <c r="C80" s="25" t="n">
        <v>404</v>
      </c>
      <c r="D80" s="26" t="s">
        <v>125</v>
      </c>
      <c r="E80" s="27" t="s">
        <v>95</v>
      </c>
      <c r="F80" s="28" t="s">
        <v>33</v>
      </c>
      <c r="G80" s="29" t="s">
        <v>44</v>
      </c>
      <c r="H80" s="30" t="n">
        <v>2.2</v>
      </c>
      <c r="I80" s="31" t="s">
        <v>22</v>
      </c>
      <c r="J80" s="32" t="n">
        <v>45843</v>
      </c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4" t="n">
        <f aca="false">SUM(K80:Z80)</f>
        <v>0</v>
      </c>
      <c r="AB80" s="35" t="n">
        <f aca="false">SUM(AA80/H80)</f>
        <v>0</v>
      </c>
      <c r="AC80" s="36" t="n">
        <f aca="false">AB80/$AB$2</f>
        <v>0</v>
      </c>
    </row>
    <row r="81" customFormat="false" ht="19.5" hidden="false" customHeight="true" outlineLevel="0" collapsed="false">
      <c r="A81" s="50" t="s">
        <v>83</v>
      </c>
      <c r="B81" s="45" t="s">
        <v>84</v>
      </c>
      <c r="C81" s="25" t="n">
        <v>201</v>
      </c>
      <c r="D81" s="26" t="s">
        <v>123</v>
      </c>
      <c r="E81" s="27" t="s">
        <v>47</v>
      </c>
      <c r="F81" s="28" t="s">
        <v>48</v>
      </c>
      <c r="G81" s="29" t="n">
        <v>22</v>
      </c>
      <c r="H81" s="30" t="n">
        <v>1.8</v>
      </c>
      <c r="I81" s="31" t="s">
        <v>22</v>
      </c>
      <c r="J81" s="32" t="n">
        <v>45883</v>
      </c>
      <c r="K81" s="33"/>
      <c r="L81" s="33"/>
      <c r="M81" s="33" t="n">
        <v>3452</v>
      </c>
      <c r="N81" s="33"/>
      <c r="O81" s="33"/>
      <c r="P81" s="33"/>
      <c r="Q81" s="33" t="n">
        <v>4298</v>
      </c>
      <c r="R81" s="33" t="n">
        <v>1890</v>
      </c>
      <c r="S81" s="33"/>
      <c r="T81" s="33"/>
      <c r="U81" s="33" t="n">
        <v>5176</v>
      </c>
      <c r="V81" s="33" t="n">
        <v>752</v>
      </c>
      <c r="W81" s="33"/>
      <c r="X81" s="33"/>
      <c r="Y81" s="33"/>
      <c r="Z81" s="33"/>
      <c r="AA81" s="34" t="n">
        <f aca="false">SUM(K81:Z81)</f>
        <v>15568</v>
      </c>
      <c r="AB81" s="35" t="n">
        <f aca="false">SUM(AA81/H81)</f>
        <v>8648.88888888889</v>
      </c>
      <c r="AC81" s="36" t="n">
        <f aca="false">AB81/$AB$2</f>
        <v>576.592592592593</v>
      </c>
    </row>
    <row r="82" customFormat="false" ht="19.5" hidden="false" customHeight="true" outlineLevel="0" collapsed="false">
      <c r="A82" s="51" t="s">
        <v>96</v>
      </c>
      <c r="B82" s="45" t="s">
        <v>66</v>
      </c>
      <c r="C82" s="25" t="n">
        <v>910</v>
      </c>
      <c r="D82" s="26" t="s">
        <v>126</v>
      </c>
      <c r="E82" s="27" t="s">
        <v>47</v>
      </c>
      <c r="F82" s="28" t="s">
        <v>48</v>
      </c>
      <c r="G82" s="29" t="s">
        <v>59</v>
      </c>
      <c r="H82" s="30" t="n">
        <v>2</v>
      </c>
      <c r="I82" s="31" t="s">
        <v>22</v>
      </c>
      <c r="J82" s="32" t="n">
        <v>45863</v>
      </c>
      <c r="K82" s="33"/>
      <c r="L82" s="33"/>
      <c r="M82" s="33"/>
      <c r="N82" s="33" t="n">
        <v>3084</v>
      </c>
      <c r="O82" s="33"/>
      <c r="P82" s="33"/>
      <c r="Q82" s="33"/>
      <c r="R82" s="33" t="n">
        <v>3906</v>
      </c>
      <c r="S82" s="33"/>
      <c r="T82" s="33"/>
      <c r="U82" s="33" t="n">
        <v>1454</v>
      </c>
      <c r="V82" s="33" t="n">
        <v>2128</v>
      </c>
      <c r="W82" s="33"/>
      <c r="X82" s="33"/>
      <c r="Y82" s="33"/>
      <c r="Z82" s="33"/>
      <c r="AA82" s="34" t="n">
        <f aca="false">SUM(K82:Z82)</f>
        <v>10572</v>
      </c>
      <c r="AB82" s="35" t="n">
        <f aca="false">SUM(AA82/H82)</f>
        <v>5286</v>
      </c>
      <c r="AC82" s="36" t="n">
        <f aca="false">AB82/$AB$2</f>
        <v>352.4</v>
      </c>
    </row>
    <row r="83" customFormat="false" ht="19.5" hidden="false" customHeight="true" outlineLevel="0" collapsed="false">
      <c r="A83" s="50" t="s">
        <v>83</v>
      </c>
      <c r="B83" s="45" t="s">
        <v>84</v>
      </c>
      <c r="C83" s="25" t="n">
        <v>205</v>
      </c>
      <c r="D83" s="26" t="s">
        <v>127</v>
      </c>
      <c r="E83" s="27" t="s">
        <v>19</v>
      </c>
      <c r="F83" s="28" t="s">
        <v>20</v>
      </c>
      <c r="G83" s="29" t="s">
        <v>120</v>
      </c>
      <c r="H83" s="30" t="n">
        <v>2.49</v>
      </c>
      <c r="I83" s="31" t="s">
        <v>22</v>
      </c>
      <c r="J83" s="32" t="n">
        <v>45861</v>
      </c>
      <c r="K83" s="33"/>
      <c r="L83" s="33"/>
      <c r="M83" s="33" t="n">
        <v>4276</v>
      </c>
      <c r="N83" s="33"/>
      <c r="O83" s="33"/>
      <c r="P83" s="33"/>
      <c r="Q83" s="33" t="n">
        <v>3800</v>
      </c>
      <c r="R83" s="33"/>
      <c r="S83" s="33"/>
      <c r="T83" s="33"/>
      <c r="U83" s="33"/>
      <c r="V83" s="33" t="n">
        <v>4340</v>
      </c>
      <c r="W83" s="33" t="n">
        <v>3951</v>
      </c>
      <c r="X83" s="33"/>
      <c r="Y83" s="33"/>
      <c r="Z83" s="33"/>
      <c r="AA83" s="34" t="n">
        <f aca="false">SUM(K83:Z83)</f>
        <v>16367</v>
      </c>
      <c r="AB83" s="35" t="n">
        <f aca="false">SUM(AA83/H83)</f>
        <v>6573.09236947791</v>
      </c>
      <c r="AC83" s="36" t="n">
        <f aca="false">AB83/$AB$2</f>
        <v>438.206157965194</v>
      </c>
    </row>
    <row r="84" customFormat="false" ht="19.5" hidden="false" customHeight="true" outlineLevel="0" collapsed="false">
      <c r="A84" s="24" t="s">
        <v>41</v>
      </c>
      <c r="B84" s="45" t="s">
        <v>42</v>
      </c>
      <c r="C84" s="25" t="n">
        <v>104</v>
      </c>
      <c r="D84" s="26" t="s">
        <v>94</v>
      </c>
      <c r="E84" s="27" t="s">
        <v>128</v>
      </c>
      <c r="F84" s="28" t="s">
        <v>20</v>
      </c>
      <c r="G84" s="29" t="n">
        <v>7</v>
      </c>
      <c r="H84" s="30" t="n">
        <v>1.2</v>
      </c>
      <c r="I84" s="41" t="s">
        <v>34</v>
      </c>
      <c r="J84" s="32" t="n">
        <v>45768</v>
      </c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4" t="n">
        <f aca="false">SUM(K84:Z84)</f>
        <v>0</v>
      </c>
      <c r="AB84" s="35" t="n">
        <f aca="false">SUM(AA84/H84)</f>
        <v>0</v>
      </c>
      <c r="AC84" s="36" t="n">
        <f aca="false">AB84/$AB$2</f>
        <v>0</v>
      </c>
    </row>
    <row r="85" customFormat="false" ht="19.5" hidden="false" customHeight="true" outlineLevel="0" collapsed="false">
      <c r="A85" s="51" t="s">
        <v>96</v>
      </c>
      <c r="B85" s="45" t="s">
        <v>66</v>
      </c>
      <c r="C85" s="25" t="n">
        <v>901</v>
      </c>
      <c r="D85" s="26" t="s">
        <v>97</v>
      </c>
      <c r="E85" s="27" t="s">
        <v>32</v>
      </c>
      <c r="F85" s="28" t="s">
        <v>33</v>
      </c>
      <c r="G85" s="29" t="s">
        <v>52</v>
      </c>
      <c r="H85" s="30" t="n">
        <v>4</v>
      </c>
      <c r="I85" s="31" t="s">
        <v>22</v>
      </c>
      <c r="J85" s="32" t="n">
        <v>45883</v>
      </c>
      <c r="K85" s="33" t="n">
        <v>2073</v>
      </c>
      <c r="L85" s="33" t="n">
        <v>4146</v>
      </c>
      <c r="M85" s="33" t="n">
        <v>1887</v>
      </c>
      <c r="N85" s="33" t="n">
        <v>1651</v>
      </c>
      <c r="O85" s="33" t="n">
        <v>1636</v>
      </c>
      <c r="P85" s="33" t="n">
        <v>2081</v>
      </c>
      <c r="Q85" s="33" t="n">
        <v>2182</v>
      </c>
      <c r="R85" s="33" t="n">
        <v>4428</v>
      </c>
      <c r="S85" s="33" t="n">
        <v>2726</v>
      </c>
      <c r="T85" s="33" t="n">
        <v>3003</v>
      </c>
      <c r="U85" s="33"/>
      <c r="V85" s="33" t="n">
        <v>3787</v>
      </c>
      <c r="W85" s="33" t="n">
        <v>2533</v>
      </c>
      <c r="X85" s="33"/>
      <c r="Y85" s="33"/>
      <c r="Z85" s="33"/>
      <c r="AA85" s="34" t="n">
        <f aca="false">SUM(K85:Z85)</f>
        <v>32133</v>
      </c>
      <c r="AB85" s="35" t="n">
        <f aca="false">SUM(AA85/H85)</f>
        <v>8033.25</v>
      </c>
      <c r="AC85" s="36" t="n">
        <f aca="false">AB85/$AB$2</f>
        <v>535.55</v>
      </c>
    </row>
    <row r="86" customFormat="false" ht="19.5" hidden="false" customHeight="true" outlineLevel="0" collapsed="false">
      <c r="A86" s="44" t="s">
        <v>56</v>
      </c>
      <c r="B86" s="45" t="s">
        <v>57</v>
      </c>
      <c r="C86" s="25" t="n">
        <v>603</v>
      </c>
      <c r="D86" s="26" t="s">
        <v>58</v>
      </c>
      <c r="E86" s="27" t="s">
        <v>49</v>
      </c>
      <c r="F86" s="28" t="s">
        <v>48</v>
      </c>
      <c r="G86" s="29" t="s">
        <v>129</v>
      </c>
      <c r="H86" s="30" t="n">
        <v>1.76</v>
      </c>
      <c r="I86" s="31" t="s">
        <v>22</v>
      </c>
      <c r="J86" s="32" t="n">
        <v>45861</v>
      </c>
      <c r="K86" s="33"/>
      <c r="L86" s="33" t="n">
        <v>2944</v>
      </c>
      <c r="M86" s="33"/>
      <c r="N86" s="33"/>
      <c r="O86" s="33"/>
      <c r="P86" s="33" t="n">
        <v>3036</v>
      </c>
      <c r="Q86" s="33"/>
      <c r="R86" s="33"/>
      <c r="S86" s="33" t="n">
        <v>2868</v>
      </c>
      <c r="T86" s="33"/>
      <c r="U86" s="33"/>
      <c r="V86" s="33"/>
      <c r="W86" s="33"/>
      <c r="X86" s="33"/>
      <c r="Y86" s="33"/>
      <c r="Z86" s="33"/>
      <c r="AA86" s="34" t="n">
        <f aca="false">SUM(K86:Z86)</f>
        <v>8848</v>
      </c>
      <c r="AB86" s="35" t="n">
        <f aca="false">SUM(AA86/H86)</f>
        <v>5027.27272727273</v>
      </c>
      <c r="AC86" s="36" t="n">
        <f aca="false">AB86/$AB$2</f>
        <v>335.151515151515</v>
      </c>
    </row>
    <row r="87" customFormat="false" ht="19.5" hidden="false" customHeight="true" outlineLevel="0" collapsed="false">
      <c r="A87" s="47" t="s">
        <v>65</v>
      </c>
      <c r="B87" s="45" t="s">
        <v>66</v>
      </c>
      <c r="C87" s="25" t="n">
        <v>903</v>
      </c>
      <c r="D87" s="26" t="s">
        <v>67</v>
      </c>
      <c r="E87" s="27" t="s">
        <v>47</v>
      </c>
      <c r="F87" s="28" t="s">
        <v>48</v>
      </c>
      <c r="G87" s="29" t="s">
        <v>130</v>
      </c>
      <c r="H87" s="30" t="n">
        <v>3.2</v>
      </c>
      <c r="I87" s="31" t="s">
        <v>22</v>
      </c>
      <c r="J87" s="32" t="n">
        <v>45864</v>
      </c>
      <c r="K87" s="33" t="n">
        <v>1338</v>
      </c>
      <c r="L87" s="33"/>
      <c r="M87" s="33"/>
      <c r="N87" s="33"/>
      <c r="O87" s="33" t="n">
        <v>6394</v>
      </c>
      <c r="P87" s="33" t="n">
        <v>3808</v>
      </c>
      <c r="Q87" s="33"/>
      <c r="R87" s="33"/>
      <c r="S87" s="33"/>
      <c r="T87" s="33" t="n">
        <v>9880</v>
      </c>
      <c r="U87" s="33"/>
      <c r="V87" s="33"/>
      <c r="W87" s="33"/>
      <c r="X87" s="33"/>
      <c r="Y87" s="33"/>
      <c r="Z87" s="33"/>
      <c r="AA87" s="34" t="n">
        <f aca="false">SUM(K87:Z87)</f>
        <v>21420</v>
      </c>
      <c r="AB87" s="35" t="n">
        <f aca="false">SUM(AA87/H87)</f>
        <v>6693.75</v>
      </c>
      <c r="AC87" s="36" t="n">
        <f aca="false">AB87/$AB$2</f>
        <v>446.25</v>
      </c>
    </row>
    <row r="88" customFormat="false" ht="19.5" hidden="false" customHeight="true" outlineLevel="0" collapsed="false">
      <c r="A88" s="24" t="s">
        <v>41</v>
      </c>
      <c r="B88" s="45" t="s">
        <v>42</v>
      </c>
      <c r="C88" s="25" t="n">
        <v>103</v>
      </c>
      <c r="D88" s="26" t="s">
        <v>124</v>
      </c>
      <c r="E88" s="27" t="s">
        <v>131</v>
      </c>
      <c r="F88" s="28" t="s">
        <v>20</v>
      </c>
      <c r="G88" s="29" t="n">
        <v>4</v>
      </c>
      <c r="H88" s="30" t="n">
        <v>1.5</v>
      </c>
      <c r="I88" s="41" t="s">
        <v>34</v>
      </c>
      <c r="J88" s="32" t="n">
        <v>45805</v>
      </c>
      <c r="K88" s="33" t="n">
        <v>1740</v>
      </c>
      <c r="L88" s="33"/>
      <c r="M88" s="33"/>
      <c r="N88" s="33"/>
      <c r="O88" s="33"/>
      <c r="P88" s="33" t="n">
        <v>1352</v>
      </c>
      <c r="Q88" s="33"/>
      <c r="R88" s="33"/>
      <c r="S88" s="33"/>
      <c r="T88" s="33" t="n">
        <v>2353</v>
      </c>
      <c r="U88" s="33" t="n">
        <v>383</v>
      </c>
      <c r="V88" s="33"/>
      <c r="W88" s="33" t="n">
        <v>659</v>
      </c>
      <c r="X88" s="33"/>
      <c r="Y88" s="33"/>
      <c r="Z88" s="33"/>
      <c r="AA88" s="34" t="n">
        <f aca="false">SUM(K88:Z88)</f>
        <v>6487</v>
      </c>
      <c r="AB88" s="35" t="n">
        <f aca="false">SUM(AA88/H88)</f>
        <v>4324.66666666667</v>
      </c>
      <c r="AC88" s="36" t="n">
        <f aca="false">AB88/$AB$2</f>
        <v>288.311111111111</v>
      </c>
    </row>
    <row r="89" customFormat="false" ht="19.5" hidden="false" customHeight="true" outlineLevel="0" collapsed="false">
      <c r="A89" s="65" t="s">
        <v>132</v>
      </c>
      <c r="B89" s="45" t="s">
        <v>17</v>
      </c>
      <c r="C89" s="25" t="n">
        <v>801</v>
      </c>
      <c r="D89" s="26" t="s">
        <v>133</v>
      </c>
      <c r="E89" s="27" t="s">
        <v>47</v>
      </c>
      <c r="F89" s="28" t="s">
        <v>48</v>
      </c>
      <c r="G89" s="29" t="s">
        <v>134</v>
      </c>
      <c r="H89" s="30" t="n">
        <v>2</v>
      </c>
      <c r="I89" s="31" t="s">
        <v>22</v>
      </c>
      <c r="J89" s="32" t="n">
        <v>45888</v>
      </c>
      <c r="K89" s="33"/>
      <c r="L89" s="33" t="n">
        <v>3816</v>
      </c>
      <c r="M89" s="33"/>
      <c r="N89" s="33"/>
      <c r="O89" s="33" t="n">
        <v>1422</v>
      </c>
      <c r="P89" s="33" t="n">
        <v>2056</v>
      </c>
      <c r="Q89" s="33"/>
      <c r="R89" s="33"/>
      <c r="S89" s="33"/>
      <c r="T89" s="33" t="n">
        <v>993</v>
      </c>
      <c r="U89" s="33" t="n">
        <v>4606</v>
      </c>
      <c r="V89" s="33" t="n">
        <v>2818</v>
      </c>
      <c r="W89" s="33"/>
      <c r="X89" s="33"/>
      <c r="Y89" s="33"/>
      <c r="Z89" s="33"/>
      <c r="AA89" s="34" t="n">
        <f aca="false">SUM(K89:Z89)</f>
        <v>15711</v>
      </c>
      <c r="AB89" s="35" t="n">
        <f aca="false">SUM(AA89/H89)</f>
        <v>7855.5</v>
      </c>
      <c r="AC89" s="36" t="n">
        <f aca="false">AB89/$AB$2</f>
        <v>523.7</v>
      </c>
    </row>
    <row r="90" customFormat="false" ht="19.5" hidden="false" customHeight="true" outlineLevel="0" collapsed="false">
      <c r="A90" s="44" t="s">
        <v>56</v>
      </c>
      <c r="B90" s="45" t="s">
        <v>57</v>
      </c>
      <c r="C90" s="25" t="n">
        <v>603</v>
      </c>
      <c r="D90" s="26" t="s">
        <v>58</v>
      </c>
      <c r="E90" s="27" t="s">
        <v>47</v>
      </c>
      <c r="F90" s="28" t="s">
        <v>48</v>
      </c>
      <c r="G90" s="29" t="s">
        <v>44</v>
      </c>
      <c r="H90" s="30" t="n">
        <v>1.88</v>
      </c>
      <c r="I90" s="31" t="s">
        <v>22</v>
      </c>
      <c r="J90" s="32" t="n">
        <v>45872</v>
      </c>
      <c r="K90" s="33"/>
      <c r="L90" s="33"/>
      <c r="M90" s="33" t="n">
        <v>2078</v>
      </c>
      <c r="N90" s="33"/>
      <c r="O90" s="33"/>
      <c r="P90" s="33"/>
      <c r="Q90" s="33" t="n">
        <v>3222</v>
      </c>
      <c r="R90" s="33"/>
      <c r="S90" s="33"/>
      <c r="T90" s="33" t="n">
        <v>3103</v>
      </c>
      <c r="U90" s="33"/>
      <c r="V90" s="33"/>
      <c r="W90" s="33"/>
      <c r="X90" s="33" t="n">
        <v>4910</v>
      </c>
      <c r="Y90" s="33"/>
      <c r="Z90" s="33"/>
      <c r="AA90" s="34" t="n">
        <f aca="false">SUM(K90:Z90)</f>
        <v>13313</v>
      </c>
      <c r="AB90" s="35" t="n">
        <f aca="false">SUM(AA90/H90)</f>
        <v>7081.3829787234</v>
      </c>
      <c r="AC90" s="36" t="n">
        <f aca="false">AB90/$AB$2</f>
        <v>472.09219858156</v>
      </c>
    </row>
    <row r="91" customFormat="false" ht="19.5" hidden="false" customHeight="true" outlineLevel="0" collapsed="false">
      <c r="A91" s="24" t="s">
        <v>41</v>
      </c>
      <c r="B91" s="45" t="s">
        <v>42</v>
      </c>
      <c r="C91" s="25" t="n">
        <v>100</v>
      </c>
      <c r="D91" s="26" t="s">
        <v>43</v>
      </c>
      <c r="E91" s="27" t="s">
        <v>19</v>
      </c>
      <c r="F91" s="28" t="s">
        <v>20</v>
      </c>
      <c r="G91" s="29" t="n">
        <v>6</v>
      </c>
      <c r="H91" s="30" t="n">
        <v>1.4</v>
      </c>
      <c r="I91" s="31" t="s">
        <v>22</v>
      </c>
      <c r="J91" s="32" t="n">
        <v>45963</v>
      </c>
      <c r="K91" s="33"/>
      <c r="L91" s="33" t="n">
        <v>1522</v>
      </c>
      <c r="M91" s="33"/>
      <c r="N91" s="33"/>
      <c r="O91" s="33" t="n">
        <v>3850</v>
      </c>
      <c r="P91" s="33"/>
      <c r="Q91" s="33"/>
      <c r="R91" s="33"/>
      <c r="S91" s="33" t="n">
        <v>2340</v>
      </c>
      <c r="T91" s="33" t="n">
        <v>2234</v>
      </c>
      <c r="U91" s="33"/>
      <c r="V91" s="33"/>
      <c r="W91" s="33"/>
      <c r="X91" s="33" t="n">
        <v>3310</v>
      </c>
      <c r="Y91" s="33"/>
      <c r="Z91" s="33"/>
      <c r="AA91" s="34" t="n">
        <f aca="false">SUM(K91:Z91)</f>
        <v>13256</v>
      </c>
      <c r="AB91" s="35" t="n">
        <f aca="false">SUM(AA91/H91)</f>
        <v>9468.57142857143</v>
      </c>
      <c r="AC91" s="36" t="n">
        <f aca="false">AB91/$AB$2</f>
        <v>631.238095238095</v>
      </c>
    </row>
    <row r="92" customFormat="false" ht="19.5" hidden="false" customHeight="true" outlineLevel="0" collapsed="false">
      <c r="A92" s="50" t="s">
        <v>83</v>
      </c>
      <c r="B92" s="45" t="s">
        <v>84</v>
      </c>
      <c r="C92" s="25" t="n">
        <v>201</v>
      </c>
      <c r="D92" s="26" t="s">
        <v>123</v>
      </c>
      <c r="E92" s="27" t="s">
        <v>47</v>
      </c>
      <c r="F92" s="28" t="s">
        <v>48</v>
      </c>
      <c r="G92" s="29" t="s">
        <v>135</v>
      </c>
      <c r="H92" s="30" t="n">
        <v>1.8</v>
      </c>
      <c r="I92" s="31" t="s">
        <v>22</v>
      </c>
      <c r="J92" s="32" t="n">
        <v>45861</v>
      </c>
      <c r="K92" s="33" t="n">
        <v>3177</v>
      </c>
      <c r="L92" s="33"/>
      <c r="M92" s="33" t="n">
        <v>2443</v>
      </c>
      <c r="N92" s="33"/>
      <c r="O92" s="33"/>
      <c r="P92" s="33"/>
      <c r="Q92" s="33" t="n">
        <v>4525</v>
      </c>
      <c r="R92" s="33"/>
      <c r="S92" s="33"/>
      <c r="T92" s="33"/>
      <c r="U92" s="33" t="n">
        <v>5905</v>
      </c>
      <c r="V92" s="33"/>
      <c r="W92" s="33"/>
      <c r="X92" s="33"/>
      <c r="Y92" s="33"/>
      <c r="Z92" s="33"/>
      <c r="AA92" s="34" t="n">
        <f aca="false">SUM(K92:Z92)</f>
        <v>16050</v>
      </c>
      <c r="AB92" s="35" t="n">
        <f aca="false">SUM(AA92/H92)</f>
        <v>8916.66666666667</v>
      </c>
      <c r="AC92" s="36" t="n">
        <f aca="false">AB92/$AB$2</f>
        <v>594.444444444445</v>
      </c>
    </row>
    <row r="93" customFormat="false" ht="19.5" hidden="false" customHeight="true" outlineLevel="0" collapsed="false">
      <c r="A93" s="24" t="s">
        <v>41</v>
      </c>
      <c r="B93" s="45" t="s">
        <v>42</v>
      </c>
      <c r="C93" s="25" t="n">
        <v>102</v>
      </c>
      <c r="D93" s="26" t="s">
        <v>92</v>
      </c>
      <c r="E93" s="27" t="s">
        <v>47</v>
      </c>
      <c r="F93" s="28" t="s">
        <v>48</v>
      </c>
      <c r="G93" s="29" t="s">
        <v>28</v>
      </c>
      <c r="H93" s="30" t="n">
        <v>1.64</v>
      </c>
      <c r="I93" s="31" t="s">
        <v>22</v>
      </c>
      <c r="J93" s="32" t="n">
        <v>45893</v>
      </c>
      <c r="K93" s="33"/>
      <c r="L93" s="33"/>
      <c r="M93" s="33"/>
      <c r="N93" s="33" t="n">
        <v>2615</v>
      </c>
      <c r="O93" s="33"/>
      <c r="P93" s="33"/>
      <c r="Q93" s="33" t="n">
        <v>1732</v>
      </c>
      <c r="R93" s="33"/>
      <c r="S93" s="33"/>
      <c r="T93" s="33"/>
      <c r="U93" s="33" t="n">
        <v>2621</v>
      </c>
      <c r="V93" s="33" t="n">
        <v>2036</v>
      </c>
      <c r="W93" s="33"/>
      <c r="X93" s="33"/>
      <c r="Y93" s="33" t="n">
        <v>2047</v>
      </c>
      <c r="Z93" s="33"/>
      <c r="AA93" s="34" t="n">
        <f aca="false">SUM(K93:Z93)</f>
        <v>11051</v>
      </c>
      <c r="AB93" s="35" t="n">
        <f aca="false">SUM(AA93/H93)</f>
        <v>6738.41463414634</v>
      </c>
      <c r="AC93" s="36" t="n">
        <f aca="false">AB93/$AB$2</f>
        <v>449.227642276423</v>
      </c>
    </row>
    <row r="94" customFormat="false" ht="19.5" hidden="false" customHeight="true" outlineLevel="0" collapsed="false">
      <c r="A94" s="43" t="s">
        <v>50</v>
      </c>
      <c r="B94" s="45" t="s">
        <v>26</v>
      </c>
      <c r="C94" s="25" t="n">
        <v>301</v>
      </c>
      <c r="D94" s="26" t="s">
        <v>136</v>
      </c>
      <c r="E94" s="27" t="s">
        <v>47</v>
      </c>
      <c r="F94" s="28" t="s">
        <v>48</v>
      </c>
      <c r="G94" s="29" t="s">
        <v>44</v>
      </c>
      <c r="H94" s="30" t="n">
        <v>2</v>
      </c>
      <c r="I94" s="31" t="s">
        <v>22</v>
      </c>
      <c r="J94" s="32" t="n">
        <v>45869</v>
      </c>
      <c r="K94" s="33" t="n">
        <v>5449</v>
      </c>
      <c r="L94" s="33"/>
      <c r="M94" s="33" t="n">
        <v>1139</v>
      </c>
      <c r="N94" s="33"/>
      <c r="O94" s="33" t="n">
        <v>5482</v>
      </c>
      <c r="P94" s="33"/>
      <c r="Q94" s="33"/>
      <c r="R94" s="33"/>
      <c r="S94" s="33" t="n">
        <v>5700</v>
      </c>
      <c r="T94" s="33" t="n">
        <v>1947</v>
      </c>
      <c r="U94" s="33"/>
      <c r="V94" s="33"/>
      <c r="W94" s="33"/>
      <c r="X94" s="33" t="n">
        <v>5438</v>
      </c>
      <c r="Y94" s="33"/>
      <c r="Z94" s="33"/>
      <c r="AA94" s="34" t="n">
        <f aca="false">SUM(K94:Z94)</f>
        <v>25155</v>
      </c>
      <c r="AB94" s="35" t="n">
        <f aca="false">SUM(AA94/H94)</f>
        <v>12577.5</v>
      </c>
      <c r="AC94" s="36" t="n">
        <f aca="false">AB94/$AB$2</f>
        <v>838.5</v>
      </c>
    </row>
    <row r="95" customFormat="false" ht="19.5" hidden="false" customHeight="true" outlineLevel="0" collapsed="false">
      <c r="A95" s="23" t="s">
        <v>16</v>
      </c>
      <c r="B95" s="45" t="s">
        <v>17</v>
      </c>
      <c r="C95" s="25" t="n">
        <v>701</v>
      </c>
      <c r="D95" s="26" t="s">
        <v>18</v>
      </c>
      <c r="E95" s="27" t="s">
        <v>137</v>
      </c>
      <c r="F95" s="28" t="s">
        <v>87</v>
      </c>
      <c r="G95" s="29" t="n">
        <v>7</v>
      </c>
      <c r="H95" s="30" t="n">
        <v>0.8</v>
      </c>
      <c r="I95" s="31" t="s">
        <v>22</v>
      </c>
      <c r="J95" s="32" t="n">
        <v>45889</v>
      </c>
      <c r="K95" s="33"/>
      <c r="L95" s="33"/>
      <c r="M95" s="33"/>
      <c r="N95" s="33"/>
      <c r="O95" s="33"/>
      <c r="P95" s="33"/>
      <c r="Q95" s="33" t="n">
        <v>2660</v>
      </c>
      <c r="R95" s="33" t="n">
        <v>1544</v>
      </c>
      <c r="S95" s="33" t="n">
        <v>5715</v>
      </c>
      <c r="T95" s="33"/>
      <c r="U95" s="33"/>
      <c r="V95" s="33" t="n">
        <v>2139</v>
      </c>
      <c r="W95" s="33"/>
      <c r="X95" s="33"/>
      <c r="Y95" s="33"/>
      <c r="Z95" s="33"/>
      <c r="AA95" s="34" t="n">
        <f aca="false">SUM(K95:Z95)</f>
        <v>12058</v>
      </c>
      <c r="AB95" s="35" t="n">
        <f aca="false">SUM(AA95/H95)</f>
        <v>15072.5</v>
      </c>
      <c r="AC95" s="36" t="n">
        <f aca="false">AB95/$AB$2</f>
        <v>1004.83333333333</v>
      </c>
    </row>
    <row r="96" customFormat="false" ht="19.5" hidden="false" customHeight="true" outlineLevel="0" collapsed="false">
      <c r="A96" s="65" t="s">
        <v>132</v>
      </c>
      <c r="B96" s="45" t="s">
        <v>17</v>
      </c>
      <c r="C96" s="25" t="n">
        <v>801</v>
      </c>
      <c r="D96" s="26" t="s">
        <v>133</v>
      </c>
      <c r="E96" s="27" t="s">
        <v>138</v>
      </c>
      <c r="F96" s="28" t="s">
        <v>48</v>
      </c>
      <c r="G96" s="29" t="s">
        <v>120</v>
      </c>
      <c r="H96" s="30" t="n">
        <v>2.5</v>
      </c>
      <c r="I96" s="31" t="s">
        <v>22</v>
      </c>
      <c r="J96" s="32" t="n">
        <v>45872</v>
      </c>
      <c r="K96" s="33"/>
      <c r="L96" s="33"/>
      <c r="M96" s="33"/>
      <c r="N96" s="33" t="n">
        <v>4953</v>
      </c>
      <c r="O96" s="33" t="n">
        <v>3006</v>
      </c>
      <c r="P96" s="33"/>
      <c r="Q96" s="33"/>
      <c r="R96" s="33"/>
      <c r="S96" s="33" t="n">
        <v>6325</v>
      </c>
      <c r="T96" s="33" t="n">
        <v>4802</v>
      </c>
      <c r="U96" s="33"/>
      <c r="V96" s="33"/>
      <c r="W96" s="33" t="n">
        <v>6069</v>
      </c>
      <c r="X96" s="33"/>
      <c r="Y96" s="33"/>
      <c r="Z96" s="33"/>
      <c r="AA96" s="34" t="n">
        <f aca="false">SUM(K96:Z96)</f>
        <v>25155</v>
      </c>
      <c r="AB96" s="35" t="n">
        <f aca="false">SUM(AA96/H96)</f>
        <v>10062</v>
      </c>
      <c r="AC96" s="36" t="n">
        <f aca="false">AB96/$AB$2</f>
        <v>670.8</v>
      </c>
    </row>
    <row r="97" customFormat="false" ht="19.5" hidden="false" customHeight="true" outlineLevel="0" collapsed="false">
      <c r="A97" s="44" t="s">
        <v>56</v>
      </c>
      <c r="B97" s="45" t="s">
        <v>57</v>
      </c>
      <c r="C97" s="25" t="n">
        <v>601</v>
      </c>
      <c r="D97" s="26" t="s">
        <v>117</v>
      </c>
      <c r="E97" s="27" t="s">
        <v>47</v>
      </c>
      <c r="F97" s="28" t="s">
        <v>48</v>
      </c>
      <c r="G97" s="29" t="s">
        <v>139</v>
      </c>
      <c r="H97" s="30" t="n">
        <v>2.25</v>
      </c>
      <c r="I97" s="31" t="s">
        <v>22</v>
      </c>
      <c r="J97" s="32" t="n">
        <v>45872</v>
      </c>
      <c r="K97" s="33"/>
      <c r="L97" s="33"/>
      <c r="M97" s="33" t="n">
        <v>3227</v>
      </c>
      <c r="N97" s="33"/>
      <c r="O97" s="33"/>
      <c r="P97" s="33"/>
      <c r="Q97" s="33" t="n">
        <v>4622</v>
      </c>
      <c r="R97" s="33"/>
      <c r="S97" s="33"/>
      <c r="T97" s="33" t="n">
        <v>3238</v>
      </c>
      <c r="U97" s="33"/>
      <c r="V97" s="33"/>
      <c r="W97" s="33"/>
      <c r="X97" s="33"/>
      <c r="Y97" s="33" t="n">
        <v>4520</v>
      </c>
      <c r="Z97" s="33"/>
      <c r="AA97" s="34" t="n">
        <f aca="false">SUM(K97:Z97)</f>
        <v>15607</v>
      </c>
      <c r="AB97" s="35" t="n">
        <f aca="false">SUM(AA97/H97)</f>
        <v>6936.44444444444</v>
      </c>
      <c r="AC97" s="36" t="n">
        <f aca="false">AB97/$AB$2</f>
        <v>462.42962962963</v>
      </c>
    </row>
    <row r="98" customFormat="false" ht="19.5" hidden="false" customHeight="true" outlineLevel="0" collapsed="false">
      <c r="A98" s="39" t="s">
        <v>29</v>
      </c>
      <c r="B98" s="45" t="s">
        <v>26</v>
      </c>
      <c r="C98" s="25" t="n">
        <v>404</v>
      </c>
      <c r="D98" s="26" t="s">
        <v>125</v>
      </c>
      <c r="E98" s="27" t="s">
        <v>35</v>
      </c>
      <c r="F98" s="28" t="s">
        <v>20</v>
      </c>
      <c r="G98" s="29" t="n">
        <v>4</v>
      </c>
      <c r="H98" s="30" t="n">
        <v>1.1</v>
      </c>
      <c r="I98" s="31" t="s">
        <v>22</v>
      </c>
      <c r="J98" s="32" t="n">
        <v>45857</v>
      </c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4" t="n">
        <f aca="false">SUM(K98:Z98)</f>
        <v>0</v>
      </c>
      <c r="AB98" s="35" t="n">
        <f aca="false">SUM(AA98/H98)</f>
        <v>0</v>
      </c>
      <c r="AC98" s="36" t="n">
        <f aca="false">AB98/$AB$2</f>
        <v>0</v>
      </c>
    </row>
    <row r="99" customFormat="false" ht="19.5" hidden="false" customHeight="true" outlineLevel="0" collapsed="false">
      <c r="A99" s="23" t="s">
        <v>16</v>
      </c>
      <c r="B99" s="45" t="s">
        <v>17</v>
      </c>
      <c r="C99" s="25" t="n">
        <v>702</v>
      </c>
      <c r="D99" s="26" t="s">
        <v>119</v>
      </c>
      <c r="E99" s="27" t="s">
        <v>95</v>
      </c>
      <c r="F99" s="28" t="s">
        <v>33</v>
      </c>
      <c r="G99" s="29" t="s">
        <v>28</v>
      </c>
      <c r="H99" s="30" t="n">
        <v>2</v>
      </c>
      <c r="I99" s="41" t="s">
        <v>34</v>
      </c>
      <c r="J99" s="32" t="n">
        <v>45832</v>
      </c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4" t="n">
        <f aca="false">SUM(K99:Z99)</f>
        <v>0</v>
      </c>
      <c r="AB99" s="35" t="n">
        <f aca="false">SUM(AA99/H99)</f>
        <v>0</v>
      </c>
      <c r="AC99" s="36" t="n">
        <f aca="false">AB99/$AB$2</f>
        <v>0</v>
      </c>
    </row>
    <row r="100" customFormat="false" ht="19.5" hidden="false" customHeight="true" outlineLevel="0" collapsed="false">
      <c r="A100" s="23" t="s">
        <v>16</v>
      </c>
      <c r="B100" s="45" t="s">
        <v>17</v>
      </c>
      <c r="C100" s="25" t="n">
        <v>701</v>
      </c>
      <c r="D100" s="26" t="s">
        <v>18</v>
      </c>
      <c r="E100" s="27" t="s">
        <v>140</v>
      </c>
      <c r="F100" s="28" t="s">
        <v>87</v>
      </c>
      <c r="G100" s="29" t="n">
        <v>8</v>
      </c>
      <c r="H100" s="30" t="n">
        <v>0.8</v>
      </c>
      <c r="I100" s="31" t="s">
        <v>22</v>
      </c>
      <c r="J100" s="32" t="n">
        <v>45884</v>
      </c>
      <c r="K100" s="33"/>
      <c r="L100" s="33"/>
      <c r="M100" s="33" t="n">
        <v>1002</v>
      </c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 t="n">
        <v>2411</v>
      </c>
      <c r="Z100" s="33"/>
      <c r="AA100" s="34" t="n">
        <f aca="false">SUM(K100:Z100)</f>
        <v>3413</v>
      </c>
      <c r="AB100" s="35" t="n">
        <f aca="false">SUM(AA100/H100)</f>
        <v>4266.25</v>
      </c>
      <c r="AC100" s="36" t="n">
        <f aca="false">AB100/$AB$2</f>
        <v>284.416666666667</v>
      </c>
    </row>
    <row r="101" customFormat="false" ht="19.5" hidden="false" customHeight="true" outlineLevel="0" collapsed="false">
      <c r="A101" s="50" t="s">
        <v>83</v>
      </c>
      <c r="B101" s="45" t="s">
        <v>84</v>
      </c>
      <c r="C101" s="25" t="n">
        <v>201</v>
      </c>
      <c r="D101" s="26" t="s">
        <v>123</v>
      </c>
      <c r="E101" s="27" t="s">
        <v>32</v>
      </c>
      <c r="F101" s="28" t="s">
        <v>33</v>
      </c>
      <c r="G101" s="29" t="n">
        <v>19</v>
      </c>
      <c r="H101" s="30" t="n">
        <v>1.7</v>
      </c>
      <c r="I101" s="31" t="s">
        <v>22</v>
      </c>
      <c r="J101" s="32" t="n">
        <v>45839</v>
      </c>
      <c r="K101" s="33" t="n">
        <v>942</v>
      </c>
      <c r="L101" s="33"/>
      <c r="M101" s="33"/>
      <c r="N101" s="33" t="n">
        <v>1589</v>
      </c>
      <c r="O101" s="33"/>
      <c r="P101" s="33"/>
      <c r="Q101" s="33"/>
      <c r="R101" s="33"/>
      <c r="S101" s="33"/>
      <c r="T101" s="33"/>
      <c r="U101" s="33" t="n">
        <v>2396</v>
      </c>
      <c r="V101" s="33" t="n">
        <v>627</v>
      </c>
      <c r="W101" s="33"/>
      <c r="X101" s="33"/>
      <c r="Y101" s="33"/>
      <c r="Z101" s="33"/>
      <c r="AA101" s="34" t="n">
        <f aca="false">SUM(K101:Z101)</f>
        <v>5554</v>
      </c>
      <c r="AB101" s="35" t="n">
        <f aca="false">SUM(AA101/H101)</f>
        <v>3267.05882352941</v>
      </c>
      <c r="AC101" s="36" t="n">
        <f aca="false">AB101/$AB$2</f>
        <v>217.803921568627</v>
      </c>
    </row>
    <row r="102" customFormat="false" ht="19.5" hidden="false" customHeight="true" outlineLevel="0" collapsed="false">
      <c r="A102" s="44" t="s">
        <v>56</v>
      </c>
      <c r="B102" s="45" t="s">
        <v>57</v>
      </c>
      <c r="C102" s="25" t="n">
        <v>603</v>
      </c>
      <c r="D102" s="26" t="s">
        <v>58</v>
      </c>
      <c r="E102" s="27" t="s">
        <v>32</v>
      </c>
      <c r="F102" s="28" t="s">
        <v>33</v>
      </c>
      <c r="G102" s="29" t="n">
        <v>3</v>
      </c>
      <c r="H102" s="30" t="n">
        <v>1</v>
      </c>
      <c r="I102" s="31" t="s">
        <v>22</v>
      </c>
      <c r="J102" s="32" t="n">
        <v>45846</v>
      </c>
      <c r="K102" s="33"/>
      <c r="L102" s="33"/>
      <c r="M102" s="33" t="n">
        <v>966</v>
      </c>
      <c r="N102" s="33"/>
      <c r="O102" s="33"/>
      <c r="P102" s="33"/>
      <c r="Q102" s="33" t="n">
        <v>1498</v>
      </c>
      <c r="R102" s="33" t="n">
        <v>770</v>
      </c>
      <c r="S102" s="33"/>
      <c r="T102" s="33"/>
      <c r="U102" s="33" t="n">
        <v>2548</v>
      </c>
      <c r="V102" s="33"/>
      <c r="W102" s="33"/>
      <c r="X102" s="33"/>
      <c r="Y102" s="33" t="n">
        <v>402</v>
      </c>
      <c r="Z102" s="33"/>
      <c r="AA102" s="34" t="n">
        <f aca="false">SUM(K102:Z102)</f>
        <v>6184</v>
      </c>
      <c r="AB102" s="35" t="n">
        <f aca="false">SUM(AA102/H102)</f>
        <v>6184</v>
      </c>
      <c r="AC102" s="36" t="n">
        <f aca="false">AB102/$AB$2</f>
        <v>412.266666666667</v>
      </c>
    </row>
    <row r="103" customFormat="false" ht="19.5" hidden="false" customHeight="true" outlineLevel="0" collapsed="false">
      <c r="A103" s="23" t="s">
        <v>16</v>
      </c>
      <c r="B103" s="45" t="s">
        <v>17</v>
      </c>
      <c r="C103" s="25" t="n">
        <v>701</v>
      </c>
      <c r="D103" s="26" t="s">
        <v>18</v>
      </c>
      <c r="E103" s="27" t="s">
        <v>47</v>
      </c>
      <c r="F103" s="28" t="s">
        <v>48</v>
      </c>
      <c r="G103" s="29" t="s">
        <v>89</v>
      </c>
      <c r="H103" s="30" t="n">
        <v>1.5</v>
      </c>
      <c r="I103" s="31" t="s">
        <v>22</v>
      </c>
      <c r="J103" s="32" t="n">
        <v>45861</v>
      </c>
      <c r="K103" s="33"/>
      <c r="L103" s="33"/>
      <c r="M103" s="33" t="n">
        <v>1778</v>
      </c>
      <c r="N103" s="33"/>
      <c r="O103" s="33"/>
      <c r="P103" s="33" t="n">
        <v>2228</v>
      </c>
      <c r="Q103" s="33"/>
      <c r="R103" s="33"/>
      <c r="S103" s="33"/>
      <c r="T103" s="33" t="n">
        <v>3060</v>
      </c>
      <c r="U103" s="33"/>
      <c r="V103" s="33"/>
      <c r="W103" s="33"/>
      <c r="X103" s="33"/>
      <c r="Y103" s="33"/>
      <c r="Z103" s="33"/>
      <c r="AA103" s="34" t="n">
        <f aca="false">SUM(K103:Z103)</f>
        <v>7066</v>
      </c>
      <c r="AB103" s="35" t="n">
        <f aca="false">SUM(AA103/H103)</f>
        <v>4710.66666666667</v>
      </c>
      <c r="AC103" s="36" t="n">
        <f aca="false">AB103/$AB$2</f>
        <v>314.044444444445</v>
      </c>
    </row>
    <row r="104" customFormat="false" ht="19.5" hidden="false" customHeight="true" outlineLevel="0" collapsed="false">
      <c r="A104" s="50" t="s">
        <v>83</v>
      </c>
      <c r="B104" s="45" t="s">
        <v>84</v>
      </c>
      <c r="C104" s="25" t="n">
        <v>203</v>
      </c>
      <c r="D104" s="26" t="s">
        <v>141</v>
      </c>
      <c r="E104" s="27" t="s">
        <v>47</v>
      </c>
      <c r="F104" s="28" t="s">
        <v>48</v>
      </c>
      <c r="G104" s="29" t="s">
        <v>142</v>
      </c>
      <c r="H104" s="30" t="n">
        <v>4</v>
      </c>
      <c r="I104" s="31" t="s">
        <v>22</v>
      </c>
      <c r="J104" s="32" t="n">
        <v>45863</v>
      </c>
      <c r="K104" s="33" t="n">
        <v>3826</v>
      </c>
      <c r="L104" s="33"/>
      <c r="M104" s="33" t="n">
        <v>803</v>
      </c>
      <c r="N104" s="33" t="n">
        <v>6843</v>
      </c>
      <c r="O104" s="33"/>
      <c r="P104" s="33"/>
      <c r="Q104" s="33" t="n">
        <v>4402</v>
      </c>
      <c r="R104" s="33"/>
      <c r="S104" s="33"/>
      <c r="T104" s="33" t="n">
        <v>6621</v>
      </c>
      <c r="U104" s="33" t="n">
        <v>4909</v>
      </c>
      <c r="V104" s="33"/>
      <c r="W104" s="33" t="n">
        <v>5943</v>
      </c>
      <c r="X104" s="33"/>
      <c r="Y104" s="33"/>
      <c r="Z104" s="33"/>
      <c r="AA104" s="34" t="n">
        <f aca="false">SUM(K104:Z104)</f>
        <v>33347</v>
      </c>
      <c r="AB104" s="35" t="n">
        <f aca="false">SUM(AA104/H104)</f>
        <v>8336.75</v>
      </c>
      <c r="AC104" s="36" t="n">
        <f aca="false">AB104/$AB$2</f>
        <v>555.783333333333</v>
      </c>
    </row>
    <row r="105" customFormat="false" ht="19.5" hidden="false" customHeight="true" outlineLevel="0" collapsed="false">
      <c r="A105" s="50" t="s">
        <v>83</v>
      </c>
      <c r="B105" s="45" t="s">
        <v>84</v>
      </c>
      <c r="C105" s="25" t="n">
        <v>203</v>
      </c>
      <c r="D105" s="26" t="s">
        <v>141</v>
      </c>
      <c r="E105" s="27" t="s">
        <v>32</v>
      </c>
      <c r="F105" s="28" t="s">
        <v>33</v>
      </c>
      <c r="G105" s="29" t="n">
        <v>21</v>
      </c>
      <c r="H105" s="30" t="n">
        <v>1.24</v>
      </c>
      <c r="I105" s="31" t="s">
        <v>22</v>
      </c>
      <c r="J105" s="32" t="n">
        <v>45920</v>
      </c>
      <c r="K105" s="33" t="n">
        <v>1434</v>
      </c>
      <c r="L105" s="33"/>
      <c r="M105" s="33"/>
      <c r="N105" s="33" t="n">
        <v>2104</v>
      </c>
      <c r="O105" s="33"/>
      <c r="P105" s="33"/>
      <c r="Q105" s="33"/>
      <c r="R105" s="33" t="n">
        <v>3744</v>
      </c>
      <c r="S105" s="33"/>
      <c r="T105" s="33"/>
      <c r="U105" s="33" t="n">
        <v>3604</v>
      </c>
      <c r="V105" s="33" t="n">
        <v>984</v>
      </c>
      <c r="W105" s="33"/>
      <c r="X105" s="33"/>
      <c r="Y105" s="33" t="n">
        <v>2646</v>
      </c>
      <c r="Z105" s="33"/>
      <c r="AA105" s="34" t="n">
        <f aca="false">SUM(K105:Z105)</f>
        <v>14516</v>
      </c>
      <c r="AB105" s="35" t="n">
        <f aca="false">SUM(AA105/H105)</f>
        <v>11706.4516129032</v>
      </c>
      <c r="AC105" s="36" t="n">
        <f aca="false">AB105/$AB$2</f>
        <v>780.430107526882</v>
      </c>
    </row>
    <row r="106" customFormat="false" ht="19.5" hidden="false" customHeight="true" outlineLevel="0" collapsed="false">
      <c r="A106" s="47" t="s">
        <v>65</v>
      </c>
      <c r="B106" s="45" t="s">
        <v>66</v>
      </c>
      <c r="C106" s="25" t="n">
        <v>905</v>
      </c>
      <c r="D106" s="26" t="s">
        <v>143</v>
      </c>
      <c r="E106" s="27" t="s">
        <v>47</v>
      </c>
      <c r="F106" s="28" t="s">
        <v>48</v>
      </c>
      <c r="G106" s="29" t="n">
        <v>4</v>
      </c>
      <c r="H106" s="30" t="n">
        <v>1.3</v>
      </c>
      <c r="I106" s="31" t="s">
        <v>22</v>
      </c>
      <c r="J106" s="32" t="n">
        <v>45903</v>
      </c>
      <c r="K106" s="33"/>
      <c r="L106" s="33"/>
      <c r="M106" s="33"/>
      <c r="N106" s="33"/>
      <c r="O106" s="33" t="n">
        <v>5091</v>
      </c>
      <c r="P106" s="33"/>
      <c r="Q106" s="33"/>
      <c r="R106" s="33"/>
      <c r="S106" s="33" t="n">
        <v>4777</v>
      </c>
      <c r="T106" s="33"/>
      <c r="U106" s="33"/>
      <c r="V106" s="33"/>
      <c r="W106" s="33"/>
      <c r="X106" s="33" t="n">
        <v>721</v>
      </c>
      <c r="Y106" s="33" t="n">
        <v>2019</v>
      </c>
      <c r="Z106" s="33"/>
      <c r="AA106" s="34" t="n">
        <f aca="false">SUM(K106:Z106)</f>
        <v>12608</v>
      </c>
      <c r="AB106" s="35" t="n">
        <f aca="false">SUM(AA106/H106)</f>
        <v>9698.46153846154</v>
      </c>
      <c r="AC106" s="36" t="n">
        <f aca="false">AB106/$AB$2</f>
        <v>646.564102564103</v>
      </c>
    </row>
    <row r="107" customFormat="false" ht="19.5" hidden="false" customHeight="true" outlineLevel="0" collapsed="false">
      <c r="A107" s="50" t="s">
        <v>83</v>
      </c>
      <c r="B107" s="45" t="s">
        <v>84</v>
      </c>
      <c r="C107" s="25" t="n">
        <v>203</v>
      </c>
      <c r="D107" s="26" t="s">
        <v>141</v>
      </c>
      <c r="E107" s="27" t="s">
        <v>32</v>
      </c>
      <c r="F107" s="28" t="s">
        <v>33</v>
      </c>
      <c r="G107" s="29" t="s">
        <v>118</v>
      </c>
      <c r="H107" s="30" t="n">
        <v>2.52</v>
      </c>
      <c r="I107" s="31" t="s">
        <v>39</v>
      </c>
      <c r="J107" s="32" t="n">
        <v>46064</v>
      </c>
      <c r="K107" s="33"/>
      <c r="L107" s="33"/>
      <c r="M107" s="33" t="n">
        <v>1906</v>
      </c>
      <c r="N107" s="33"/>
      <c r="O107" s="33" t="n">
        <v>1742</v>
      </c>
      <c r="P107" s="33" t="n">
        <v>891</v>
      </c>
      <c r="Q107" s="33" t="n">
        <v>1540</v>
      </c>
      <c r="R107" s="33" t="n">
        <v>1047</v>
      </c>
      <c r="S107" s="33"/>
      <c r="T107" s="33" t="n">
        <v>2632</v>
      </c>
      <c r="U107" s="33" t="n">
        <v>2374</v>
      </c>
      <c r="V107" s="33"/>
      <c r="W107" s="33" t="n">
        <v>2704</v>
      </c>
      <c r="X107" s="33" t="n">
        <v>2934</v>
      </c>
      <c r="Y107" s="33" t="n">
        <v>2382</v>
      </c>
      <c r="Z107" s="33"/>
      <c r="AA107" s="34" t="n">
        <f aca="false">SUM(K107:Z107)</f>
        <v>20152</v>
      </c>
      <c r="AB107" s="35" t="n">
        <f aca="false">SUM(AA107/H107)</f>
        <v>7996.8253968254</v>
      </c>
      <c r="AC107" s="36" t="n">
        <f aca="false">AB107/$AB$2</f>
        <v>533.121693121693</v>
      </c>
    </row>
    <row r="108" customFormat="false" ht="19.5" hidden="false" customHeight="true" outlineLevel="0" collapsed="false">
      <c r="A108" s="51" t="s">
        <v>96</v>
      </c>
      <c r="B108" s="45" t="s">
        <v>66</v>
      </c>
      <c r="C108" s="25" t="n">
        <v>901</v>
      </c>
      <c r="D108" s="26" t="s">
        <v>97</v>
      </c>
      <c r="E108" s="27" t="s">
        <v>86</v>
      </c>
      <c r="F108" s="28" t="s">
        <v>87</v>
      </c>
      <c r="G108" s="29" t="n">
        <v>0</v>
      </c>
      <c r="H108" s="30" t="n">
        <v>1</v>
      </c>
      <c r="I108" s="31" t="s">
        <v>22</v>
      </c>
      <c r="J108" s="32" t="n">
        <v>45886</v>
      </c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4" t="n">
        <f aca="false">SUM(K108:Z108)</f>
        <v>0</v>
      </c>
      <c r="AB108" s="35" t="n">
        <f aca="false">SUM(AA108/H108)</f>
        <v>0</v>
      </c>
      <c r="AC108" s="36" t="n">
        <f aca="false">AB108/$AB$2</f>
        <v>0</v>
      </c>
    </row>
    <row r="109" customFormat="false" ht="19.5" hidden="false" customHeight="true" outlineLevel="0" collapsed="false">
      <c r="A109" s="48" t="s">
        <v>70</v>
      </c>
      <c r="B109" s="45" t="s">
        <v>26</v>
      </c>
      <c r="C109" s="25" t="n">
        <v>1013</v>
      </c>
      <c r="D109" s="26" t="s">
        <v>71</v>
      </c>
      <c r="E109" s="27" t="s">
        <v>32</v>
      </c>
      <c r="F109" s="28" t="s">
        <v>33</v>
      </c>
      <c r="G109" s="29" t="s">
        <v>44</v>
      </c>
      <c r="H109" s="30" t="n">
        <v>1.94</v>
      </c>
      <c r="I109" s="31" t="s">
        <v>22</v>
      </c>
      <c r="J109" s="32" t="n">
        <v>45881</v>
      </c>
      <c r="K109" s="33"/>
      <c r="L109" s="33"/>
      <c r="M109" s="33"/>
      <c r="N109" s="33" t="n">
        <v>5768</v>
      </c>
      <c r="O109" s="33"/>
      <c r="P109" s="33"/>
      <c r="Q109" s="33"/>
      <c r="R109" s="33" t="n">
        <v>7310</v>
      </c>
      <c r="S109" s="33"/>
      <c r="T109" s="33"/>
      <c r="U109" s="33"/>
      <c r="V109" s="33"/>
      <c r="W109" s="33"/>
      <c r="X109" s="33" t="n">
        <v>5666</v>
      </c>
      <c r="Y109" s="33"/>
      <c r="Z109" s="33"/>
      <c r="AA109" s="34" t="n">
        <f aca="false">SUM(K109:Z109)</f>
        <v>18744</v>
      </c>
      <c r="AB109" s="35" t="n">
        <f aca="false">SUM(AA109/H109)</f>
        <v>9661.85567010309</v>
      </c>
      <c r="AC109" s="36" t="n">
        <f aca="false">AB109/$AB$2</f>
        <v>644.123711340206</v>
      </c>
    </row>
    <row r="110" customFormat="false" ht="19.5" hidden="false" customHeight="true" outlineLevel="0" collapsed="false">
      <c r="A110" s="53" t="s">
        <v>105</v>
      </c>
      <c r="B110" s="45" t="s">
        <v>78</v>
      </c>
      <c r="C110" s="25" t="n">
        <v>908</v>
      </c>
      <c r="D110" s="26" t="s">
        <v>144</v>
      </c>
      <c r="E110" s="27" t="s">
        <v>145</v>
      </c>
      <c r="F110" s="28" t="s">
        <v>48</v>
      </c>
      <c r="G110" s="29" t="n">
        <v>3</v>
      </c>
      <c r="H110" s="30" t="n">
        <v>1.25</v>
      </c>
      <c r="I110" s="31" t="s">
        <v>22</v>
      </c>
      <c r="J110" s="32" t="n">
        <v>45898</v>
      </c>
      <c r="K110" s="33" t="n">
        <v>3442</v>
      </c>
      <c r="L110" s="33"/>
      <c r="M110" s="33"/>
      <c r="N110" s="33" t="n">
        <v>4510</v>
      </c>
      <c r="O110" s="33" t="n">
        <v>224</v>
      </c>
      <c r="P110" s="33"/>
      <c r="Q110" s="33"/>
      <c r="R110" s="33" t="n">
        <v>6524</v>
      </c>
      <c r="S110" s="33" t="n">
        <v>628</v>
      </c>
      <c r="T110" s="33"/>
      <c r="U110" s="33"/>
      <c r="V110" s="33" t="n">
        <v>4974</v>
      </c>
      <c r="W110" s="33"/>
      <c r="X110" s="33"/>
      <c r="Y110" s="33"/>
      <c r="Z110" s="33"/>
      <c r="AA110" s="34" t="n">
        <f aca="false">SUM(K110:Z110)</f>
        <v>20302</v>
      </c>
      <c r="AB110" s="35" t="n">
        <f aca="false">SUM(AA110/H110)</f>
        <v>16241.6</v>
      </c>
      <c r="AC110" s="36" t="n">
        <f aca="false">AB110/$AB$2</f>
        <v>1082.77333333333</v>
      </c>
    </row>
    <row r="111" customFormat="false" ht="19.5" hidden="false" customHeight="true" outlineLevel="0" collapsed="false">
      <c r="A111" s="24" t="s">
        <v>41</v>
      </c>
      <c r="B111" s="45" t="s">
        <v>42</v>
      </c>
      <c r="C111" s="25" t="n">
        <v>100</v>
      </c>
      <c r="D111" s="26" t="s">
        <v>43</v>
      </c>
      <c r="E111" s="27" t="s">
        <v>128</v>
      </c>
      <c r="F111" s="28" t="s">
        <v>20</v>
      </c>
      <c r="G111" s="29" t="n">
        <v>0</v>
      </c>
      <c r="H111" s="30" t="n">
        <v>1.9</v>
      </c>
      <c r="I111" s="41" t="s">
        <v>34</v>
      </c>
      <c r="J111" s="32" t="n">
        <v>45754</v>
      </c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4" t="n">
        <f aca="false">SUM(K111:Z111)</f>
        <v>0</v>
      </c>
      <c r="AB111" s="35" t="n">
        <f aca="false">SUM(AA111/H111)</f>
        <v>0</v>
      </c>
      <c r="AC111" s="36" t="n">
        <f aca="false">AB111/$AB$2</f>
        <v>0</v>
      </c>
    </row>
    <row r="112" customFormat="false" ht="19.5" hidden="false" customHeight="true" outlineLevel="0" collapsed="false">
      <c r="A112" s="43" t="s">
        <v>50</v>
      </c>
      <c r="B112" s="45" t="s">
        <v>26</v>
      </c>
      <c r="C112" s="25" t="n">
        <v>301</v>
      </c>
      <c r="D112" s="26" t="s">
        <v>136</v>
      </c>
      <c r="E112" s="27" t="s">
        <v>145</v>
      </c>
      <c r="F112" s="28" t="s">
        <v>48</v>
      </c>
      <c r="G112" s="29" t="s">
        <v>89</v>
      </c>
      <c r="H112" s="30" t="n">
        <v>2</v>
      </c>
      <c r="I112" s="31" t="s">
        <v>22</v>
      </c>
      <c r="J112" s="32" t="n">
        <v>45899</v>
      </c>
      <c r="K112" s="33"/>
      <c r="L112" s="33"/>
      <c r="M112" s="33" t="n">
        <v>3085</v>
      </c>
      <c r="N112" s="33"/>
      <c r="O112" s="33"/>
      <c r="P112" s="33" t="n">
        <v>3291</v>
      </c>
      <c r="Q112" s="33"/>
      <c r="R112" s="33"/>
      <c r="S112" s="33"/>
      <c r="T112" s="33" t="n">
        <v>2910</v>
      </c>
      <c r="U112" s="33" t="n">
        <v>3625</v>
      </c>
      <c r="V112" s="33"/>
      <c r="W112" s="33"/>
      <c r="X112" s="33"/>
      <c r="Y112" s="33" t="n">
        <v>3917</v>
      </c>
      <c r="Z112" s="33"/>
      <c r="AA112" s="34" t="n">
        <f aca="false">SUM(K112:Z112)</f>
        <v>16828</v>
      </c>
      <c r="AB112" s="35" t="n">
        <f aca="false">SUM(AA112/H112)</f>
        <v>8414</v>
      </c>
      <c r="AC112" s="36" t="n">
        <f aca="false">AB112/$AB$2</f>
        <v>560.933333333333</v>
      </c>
    </row>
    <row r="113" customFormat="false" ht="19.5" hidden="false" customHeight="true" outlineLevel="0" collapsed="false">
      <c r="A113" s="42" t="s">
        <v>45</v>
      </c>
      <c r="B113" s="45" t="s">
        <v>30</v>
      </c>
      <c r="C113" s="25" t="n">
        <v>303</v>
      </c>
      <c r="D113" s="26" t="s">
        <v>46</v>
      </c>
      <c r="E113" s="27" t="s">
        <v>146</v>
      </c>
      <c r="F113" s="28" t="s">
        <v>87</v>
      </c>
      <c r="G113" s="29" t="s">
        <v>89</v>
      </c>
      <c r="H113" s="30" t="n">
        <v>1.75</v>
      </c>
      <c r="I113" s="31" t="s">
        <v>22</v>
      </c>
      <c r="J113" s="32" t="n">
        <v>45875</v>
      </c>
      <c r="K113" s="33"/>
      <c r="L113" s="33" t="n">
        <v>4220</v>
      </c>
      <c r="M113" s="33"/>
      <c r="N113" s="33" t="n">
        <v>3528</v>
      </c>
      <c r="O113" s="33"/>
      <c r="P113" s="33" t="n">
        <v>3092</v>
      </c>
      <c r="Q113" s="33"/>
      <c r="R113" s="33"/>
      <c r="S113" s="33"/>
      <c r="T113" s="33"/>
      <c r="U113" s="33"/>
      <c r="V113" s="33"/>
      <c r="W113" s="33"/>
      <c r="X113" s="33" t="n">
        <v>1982</v>
      </c>
      <c r="Y113" s="33" t="n">
        <v>3972</v>
      </c>
      <c r="Z113" s="33"/>
      <c r="AA113" s="34" t="n">
        <f aca="false">SUM(K113:Z113)</f>
        <v>16794</v>
      </c>
      <c r="AB113" s="35" t="n">
        <f aca="false">SUM(AA113/H113)</f>
        <v>9596.57142857143</v>
      </c>
      <c r="AC113" s="36" t="n">
        <f aca="false">AB113/$AB$2</f>
        <v>639.771428571429</v>
      </c>
    </row>
    <row r="114" customFormat="false" ht="19.5" hidden="false" customHeight="true" outlineLevel="0" collapsed="false">
      <c r="A114" s="44" t="s">
        <v>56</v>
      </c>
      <c r="B114" s="45" t="s">
        <v>17</v>
      </c>
      <c r="C114" s="25" t="n">
        <v>704</v>
      </c>
      <c r="D114" s="26" t="s">
        <v>147</v>
      </c>
      <c r="E114" s="27" t="s">
        <v>32</v>
      </c>
      <c r="F114" s="28" t="s">
        <v>33</v>
      </c>
      <c r="G114" s="29" t="s">
        <v>129</v>
      </c>
      <c r="H114" s="30" t="n">
        <v>2</v>
      </c>
      <c r="I114" s="31" t="s">
        <v>22</v>
      </c>
      <c r="J114" s="32" t="n">
        <v>45862</v>
      </c>
      <c r="K114" s="33"/>
      <c r="L114" s="33" t="n">
        <v>1274</v>
      </c>
      <c r="M114" s="33" t="n">
        <v>932</v>
      </c>
      <c r="N114" s="33"/>
      <c r="O114" s="33"/>
      <c r="P114" s="33"/>
      <c r="Q114" s="33" t="n">
        <v>644</v>
      </c>
      <c r="R114" s="33" t="n">
        <v>2082</v>
      </c>
      <c r="S114" s="33"/>
      <c r="T114" s="33"/>
      <c r="U114" s="33"/>
      <c r="V114" s="33"/>
      <c r="W114" s="33" t="n">
        <v>2218</v>
      </c>
      <c r="X114" s="33"/>
      <c r="Y114" s="33"/>
      <c r="Z114" s="33"/>
      <c r="AA114" s="34" t="n">
        <f aca="false">SUM(K114:Z114)</f>
        <v>7150</v>
      </c>
      <c r="AB114" s="35" t="n">
        <f aca="false">SUM(AA114/H114)</f>
        <v>3575</v>
      </c>
      <c r="AC114" s="36" t="n">
        <f aca="false">AB114/$AB$2</f>
        <v>238.333333333333</v>
      </c>
    </row>
    <row r="115" customFormat="false" ht="19.5" hidden="false" customHeight="true" outlineLevel="0" collapsed="false">
      <c r="A115" s="44" t="s">
        <v>56</v>
      </c>
      <c r="B115" s="45" t="s">
        <v>57</v>
      </c>
      <c r="C115" s="25" t="n">
        <v>601</v>
      </c>
      <c r="D115" s="26" t="s">
        <v>117</v>
      </c>
      <c r="E115" s="27" t="s">
        <v>38</v>
      </c>
      <c r="F115" s="28" t="s">
        <v>20</v>
      </c>
      <c r="G115" s="29" t="s">
        <v>88</v>
      </c>
      <c r="H115" s="30" t="n">
        <v>1.4</v>
      </c>
      <c r="I115" s="31" t="s">
        <v>22</v>
      </c>
      <c r="J115" s="32" t="n">
        <v>45885</v>
      </c>
      <c r="K115" s="33" t="n">
        <v>2226</v>
      </c>
      <c r="L115" s="33"/>
      <c r="M115" s="33"/>
      <c r="N115" s="33"/>
      <c r="O115" s="33"/>
      <c r="P115" s="33" t="n">
        <v>3072</v>
      </c>
      <c r="Q115" s="33"/>
      <c r="R115" s="33"/>
      <c r="S115" s="33"/>
      <c r="T115" s="33" t="n">
        <v>3457</v>
      </c>
      <c r="U115" s="33"/>
      <c r="V115" s="33"/>
      <c r="W115" s="33"/>
      <c r="X115" s="33"/>
      <c r="Y115" s="33" t="n">
        <v>3144</v>
      </c>
      <c r="Z115" s="33"/>
      <c r="AA115" s="34" t="n">
        <f aca="false">SUM(K115:Z115)</f>
        <v>11899</v>
      </c>
      <c r="AB115" s="35" t="n">
        <f aca="false">SUM(AA115/H115)</f>
        <v>8499.28571428572</v>
      </c>
      <c r="AC115" s="36" t="n">
        <f aca="false">AB115/$AB$2</f>
        <v>566.619047619048</v>
      </c>
    </row>
    <row r="116" customFormat="false" ht="19.5" hidden="false" customHeight="true" outlineLevel="0" collapsed="false">
      <c r="A116" s="43" t="s">
        <v>50</v>
      </c>
      <c r="B116" s="45" t="s">
        <v>26</v>
      </c>
      <c r="C116" s="25" t="n">
        <v>401</v>
      </c>
      <c r="D116" s="26" t="s">
        <v>51</v>
      </c>
      <c r="E116" s="27" t="s">
        <v>19</v>
      </c>
      <c r="F116" s="28" t="s">
        <v>20</v>
      </c>
      <c r="G116" s="29" t="s">
        <v>63</v>
      </c>
      <c r="H116" s="30" t="n">
        <v>1.6</v>
      </c>
      <c r="I116" s="31" t="s">
        <v>22</v>
      </c>
      <c r="J116" s="32" t="n">
        <v>45859</v>
      </c>
      <c r="K116" s="33" t="n">
        <v>1978</v>
      </c>
      <c r="L116" s="33" t="n">
        <v>1582</v>
      </c>
      <c r="M116" s="33"/>
      <c r="N116" s="33"/>
      <c r="O116" s="33"/>
      <c r="P116" s="33" t="n">
        <v>1075</v>
      </c>
      <c r="Q116" s="33"/>
      <c r="R116" s="33" t="n">
        <v>1608</v>
      </c>
      <c r="S116" s="33"/>
      <c r="T116" s="33"/>
      <c r="U116" s="33"/>
      <c r="V116" s="33"/>
      <c r="W116" s="33" t="n">
        <v>3452</v>
      </c>
      <c r="X116" s="33" t="n">
        <v>632</v>
      </c>
      <c r="Y116" s="33"/>
      <c r="Z116" s="33"/>
      <c r="AA116" s="34" t="n">
        <f aca="false">SUM(K116:Z116)</f>
        <v>10327</v>
      </c>
      <c r="AB116" s="35" t="n">
        <f aca="false">SUM(AA116/H116)</f>
        <v>6454.375</v>
      </c>
      <c r="AC116" s="36" t="n">
        <f aca="false">AB116/$AB$2</f>
        <v>430.291666666667</v>
      </c>
    </row>
    <row r="117" customFormat="false" ht="19.5" hidden="false" customHeight="true" outlineLevel="0" collapsed="false">
      <c r="A117" s="43" t="s">
        <v>50</v>
      </c>
      <c r="B117" s="45" t="s">
        <v>26</v>
      </c>
      <c r="C117" s="25" t="n">
        <v>301</v>
      </c>
      <c r="D117" s="26" t="s">
        <v>136</v>
      </c>
      <c r="E117" s="27" t="s">
        <v>49</v>
      </c>
      <c r="F117" s="28" t="s">
        <v>48</v>
      </c>
      <c r="G117" s="29" t="s">
        <v>28</v>
      </c>
      <c r="H117" s="30" t="n">
        <v>2</v>
      </c>
      <c r="I117" s="31" t="s">
        <v>22</v>
      </c>
      <c r="J117" s="32" t="n">
        <v>45899</v>
      </c>
      <c r="K117" s="33"/>
      <c r="L117" s="33"/>
      <c r="M117" s="33"/>
      <c r="N117" s="33" t="n">
        <v>5316</v>
      </c>
      <c r="O117" s="33"/>
      <c r="P117" s="33"/>
      <c r="Q117" s="33"/>
      <c r="R117" s="33"/>
      <c r="S117" s="33"/>
      <c r="T117" s="33"/>
      <c r="U117" s="33" t="n">
        <v>4785</v>
      </c>
      <c r="V117" s="33" t="n">
        <v>734</v>
      </c>
      <c r="W117" s="33"/>
      <c r="X117" s="33"/>
      <c r="Y117" s="33"/>
      <c r="Z117" s="33"/>
      <c r="AA117" s="34" t="n">
        <f aca="false">SUM(K117:Z117)</f>
        <v>10835</v>
      </c>
      <c r="AB117" s="35" t="n">
        <f aca="false">SUM(AA117/H117)</f>
        <v>5417.5</v>
      </c>
      <c r="AC117" s="36" t="n">
        <f aca="false">AB117/$AB$2</f>
        <v>361.166666666667</v>
      </c>
    </row>
    <row r="118" customFormat="false" ht="19.5" hidden="false" customHeight="true" outlineLevel="0" collapsed="false">
      <c r="A118" s="53" t="s">
        <v>105</v>
      </c>
      <c r="B118" s="45" t="s">
        <v>78</v>
      </c>
      <c r="C118" s="25" t="n">
        <v>908</v>
      </c>
      <c r="D118" s="26" t="s">
        <v>144</v>
      </c>
      <c r="E118" s="27" t="s">
        <v>148</v>
      </c>
      <c r="F118" s="28" t="s">
        <v>33</v>
      </c>
      <c r="G118" s="29" t="s">
        <v>44</v>
      </c>
      <c r="H118" s="30" t="n">
        <v>1.7</v>
      </c>
      <c r="I118" s="31" t="s">
        <v>22</v>
      </c>
      <c r="J118" s="32" t="n">
        <v>45884</v>
      </c>
      <c r="K118" s="33"/>
      <c r="L118" s="33" t="n">
        <v>7246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 t="n">
        <v>7391</v>
      </c>
      <c r="X118" s="33"/>
      <c r="Y118" s="33" t="n">
        <v>912</v>
      </c>
      <c r="Z118" s="33"/>
      <c r="AA118" s="34" t="n">
        <f aca="false">SUM(K118:Z118)</f>
        <v>15549</v>
      </c>
      <c r="AB118" s="35" t="n">
        <f aca="false">SUM(AA118/H118)</f>
        <v>9146.47058823529</v>
      </c>
      <c r="AC118" s="36" t="n">
        <f aca="false">AB118/$AB$2</f>
        <v>609.764705882353</v>
      </c>
    </row>
    <row r="119" customFormat="false" ht="19.5" hidden="false" customHeight="true" outlineLevel="0" collapsed="false">
      <c r="A119" s="46" t="s">
        <v>60</v>
      </c>
      <c r="B119" s="45" t="s">
        <v>17</v>
      </c>
      <c r="C119" s="25" t="n">
        <v>802</v>
      </c>
      <c r="D119" s="26" t="s">
        <v>61</v>
      </c>
      <c r="E119" s="27" t="s">
        <v>19</v>
      </c>
      <c r="F119" s="28" t="s">
        <v>20</v>
      </c>
      <c r="G119" s="29" t="n">
        <v>3</v>
      </c>
      <c r="H119" s="30" t="n">
        <v>1</v>
      </c>
      <c r="I119" s="31" t="s">
        <v>22</v>
      </c>
      <c r="J119" s="32" t="n">
        <v>45867</v>
      </c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4" t="n">
        <f aca="false">SUM(K119:Z119)</f>
        <v>0</v>
      </c>
      <c r="AB119" s="35" t="n">
        <f aca="false">SUM(AA119/H119)</f>
        <v>0</v>
      </c>
      <c r="AC119" s="36" t="n">
        <f aca="false">AB119/$AB$2</f>
        <v>0</v>
      </c>
    </row>
    <row r="120" customFormat="false" ht="19.5" hidden="false" customHeight="true" outlineLevel="0" collapsed="false">
      <c r="A120" s="47" t="s">
        <v>65</v>
      </c>
      <c r="B120" s="45" t="s">
        <v>66</v>
      </c>
      <c r="C120" s="25" t="n">
        <v>903</v>
      </c>
      <c r="D120" s="26" t="s">
        <v>67</v>
      </c>
      <c r="E120" s="27" t="s">
        <v>138</v>
      </c>
      <c r="F120" s="28" t="s">
        <v>48</v>
      </c>
      <c r="G120" s="29" t="n">
        <v>13</v>
      </c>
      <c r="H120" s="30" t="n">
        <v>1.7</v>
      </c>
      <c r="I120" s="31" t="s">
        <v>22</v>
      </c>
      <c r="J120" s="32" t="n">
        <v>45874</v>
      </c>
      <c r="K120" s="33" t="n">
        <v>3713</v>
      </c>
      <c r="L120" s="33"/>
      <c r="M120" s="33"/>
      <c r="N120" s="33" t="n">
        <v>4856</v>
      </c>
      <c r="O120" s="33"/>
      <c r="P120" s="33" t="n">
        <v>156</v>
      </c>
      <c r="Q120" s="33" t="n">
        <v>6982</v>
      </c>
      <c r="R120" s="33"/>
      <c r="S120" s="33"/>
      <c r="T120" s="33" t="n">
        <v>7382</v>
      </c>
      <c r="U120" s="33"/>
      <c r="V120" s="33"/>
      <c r="W120" s="33"/>
      <c r="X120" s="33" t="n">
        <v>5868</v>
      </c>
      <c r="Y120" s="33"/>
      <c r="Z120" s="33"/>
      <c r="AA120" s="34" t="n">
        <f aca="false">SUM(K120:Z120)</f>
        <v>28957</v>
      </c>
      <c r="AB120" s="35" t="n">
        <f aca="false">SUM(AA120/H120)</f>
        <v>17033.5294117647</v>
      </c>
      <c r="AC120" s="36" t="n">
        <f aca="false">AB120/$AB$2</f>
        <v>1135.56862745098</v>
      </c>
    </row>
    <row r="121" customFormat="false" ht="19.5" hidden="false" customHeight="true" outlineLevel="0" collapsed="false">
      <c r="A121" s="46" t="s">
        <v>60</v>
      </c>
      <c r="B121" s="45" t="s">
        <v>17</v>
      </c>
      <c r="C121" s="25" t="n">
        <v>703</v>
      </c>
      <c r="D121" s="26" t="s">
        <v>149</v>
      </c>
      <c r="E121" s="27" t="s">
        <v>32</v>
      </c>
      <c r="F121" s="28" t="s">
        <v>33</v>
      </c>
      <c r="G121" s="29" t="s">
        <v>150</v>
      </c>
      <c r="H121" s="30" t="n">
        <v>4</v>
      </c>
      <c r="I121" s="31" t="s">
        <v>22</v>
      </c>
      <c r="J121" s="32" t="n">
        <v>45890</v>
      </c>
      <c r="K121" s="33" t="n">
        <v>3037</v>
      </c>
      <c r="L121" s="33"/>
      <c r="M121" s="33" t="n">
        <v>2154</v>
      </c>
      <c r="N121" s="33" t="n">
        <v>2278</v>
      </c>
      <c r="O121" s="33" t="n">
        <v>3544</v>
      </c>
      <c r="P121" s="33" t="n">
        <v>2536</v>
      </c>
      <c r="Q121" s="33"/>
      <c r="R121" s="33" t="n">
        <v>3486</v>
      </c>
      <c r="S121" s="33" t="n">
        <v>4986</v>
      </c>
      <c r="T121" s="33" t="n">
        <v>3899</v>
      </c>
      <c r="U121" s="33" t="n">
        <v>3210</v>
      </c>
      <c r="V121" s="33" t="n">
        <v>7994</v>
      </c>
      <c r="W121" s="33" t="n">
        <v>3918</v>
      </c>
      <c r="X121" s="33"/>
      <c r="Y121" s="33" t="n">
        <v>3457</v>
      </c>
      <c r="Z121" s="33"/>
      <c r="AA121" s="34" t="n">
        <f aca="false">SUM(K121:Z121)</f>
        <v>44499</v>
      </c>
      <c r="AB121" s="35" t="n">
        <f aca="false">SUM(AA121/H121)</f>
        <v>11124.75</v>
      </c>
      <c r="AC121" s="36" t="n">
        <f aca="false">AB121/$AB$2</f>
        <v>741.65</v>
      </c>
    </row>
    <row r="122" customFormat="false" ht="19.5" hidden="false" customHeight="true" outlineLevel="0" collapsed="false">
      <c r="A122" s="66" t="s">
        <v>16</v>
      </c>
      <c r="B122" s="45" t="s">
        <v>17</v>
      </c>
      <c r="C122" s="25" t="n">
        <v>701</v>
      </c>
      <c r="D122" s="26" t="s">
        <v>18</v>
      </c>
      <c r="E122" s="27" t="s">
        <v>151</v>
      </c>
      <c r="F122" s="28" t="s">
        <v>87</v>
      </c>
      <c r="G122" s="29" t="n">
        <v>9</v>
      </c>
      <c r="H122" s="30" t="n">
        <v>1.1</v>
      </c>
      <c r="I122" s="31" t="s">
        <v>22</v>
      </c>
      <c r="J122" s="67" t="n">
        <v>45875</v>
      </c>
      <c r="K122" s="33"/>
      <c r="L122" s="33" t="n">
        <v>3279</v>
      </c>
      <c r="M122" s="33" t="n">
        <v>2743</v>
      </c>
      <c r="N122" s="33" t="n">
        <v>1044</v>
      </c>
      <c r="O122" s="33" t="n">
        <v>1464</v>
      </c>
      <c r="P122" s="33"/>
      <c r="Q122" s="33"/>
      <c r="R122" s="33"/>
      <c r="S122" s="33" t="n">
        <v>2202</v>
      </c>
      <c r="T122" s="33"/>
      <c r="U122" s="33"/>
      <c r="V122" s="33"/>
      <c r="W122" s="33"/>
      <c r="X122" s="33" t="n">
        <v>2638</v>
      </c>
      <c r="Y122" s="33" t="n">
        <v>432</v>
      </c>
      <c r="Z122" s="33"/>
      <c r="AA122" s="34" t="n">
        <f aca="false">SUM(K122:Z122)</f>
        <v>13802</v>
      </c>
      <c r="AB122" s="35" t="n">
        <f aca="false">SUM(AA122/H122)</f>
        <v>12547.2727272727</v>
      </c>
      <c r="AC122" s="36" t="n">
        <f aca="false">AB122/$AB$2</f>
        <v>836.484848484848</v>
      </c>
    </row>
    <row r="123" customFormat="false" ht="19.5" hidden="false" customHeight="true" outlineLevel="0" collapsed="false">
      <c r="A123" s="42" t="s">
        <v>45</v>
      </c>
      <c r="B123" s="45" t="s">
        <v>30</v>
      </c>
      <c r="C123" s="25" t="n">
        <v>305</v>
      </c>
      <c r="D123" s="26" t="s">
        <v>152</v>
      </c>
      <c r="E123" s="27" t="s">
        <v>153</v>
      </c>
      <c r="F123" s="28" t="s">
        <v>87</v>
      </c>
      <c r="G123" s="29" t="n">
        <v>5</v>
      </c>
      <c r="H123" s="30" t="n">
        <v>1</v>
      </c>
      <c r="I123" s="31" t="s">
        <v>22</v>
      </c>
      <c r="J123" s="67" t="n">
        <v>46003</v>
      </c>
      <c r="K123" s="33"/>
      <c r="L123" s="33"/>
      <c r="M123" s="33"/>
      <c r="N123" s="33" t="n">
        <v>4530</v>
      </c>
      <c r="O123" s="33"/>
      <c r="P123" s="33"/>
      <c r="Q123" s="33"/>
      <c r="R123" s="33" t="n">
        <v>1105</v>
      </c>
      <c r="S123" s="33"/>
      <c r="T123" s="33" t="n">
        <v>4719</v>
      </c>
      <c r="U123" s="33"/>
      <c r="V123" s="33"/>
      <c r="W123" s="33"/>
      <c r="X123" s="33" t="n">
        <v>1175</v>
      </c>
      <c r="Y123" s="33"/>
      <c r="Z123" s="33"/>
      <c r="AA123" s="34" t="n">
        <f aca="false">SUM(K123:Z123)</f>
        <v>11529</v>
      </c>
      <c r="AB123" s="35" t="n">
        <f aca="false">SUM(AA123/H123)</f>
        <v>11529</v>
      </c>
      <c r="AC123" s="36" t="n">
        <f aca="false">AB123/$AB$2</f>
        <v>768.6</v>
      </c>
    </row>
    <row r="124" customFormat="false" ht="19.5" hidden="false" customHeight="true" outlineLevel="0" collapsed="false">
      <c r="A124" s="46" t="s">
        <v>60</v>
      </c>
      <c r="B124" s="45" t="s">
        <v>17</v>
      </c>
      <c r="C124" s="25" t="n">
        <v>705</v>
      </c>
      <c r="D124" s="26" t="s">
        <v>154</v>
      </c>
      <c r="E124" s="27" t="s">
        <v>32</v>
      </c>
      <c r="F124" s="28" t="s">
        <v>33</v>
      </c>
      <c r="G124" s="29" t="s">
        <v>129</v>
      </c>
      <c r="H124" s="30" t="n">
        <v>1.82</v>
      </c>
      <c r="I124" s="31" t="s">
        <v>22</v>
      </c>
      <c r="J124" s="67" t="n">
        <v>45874</v>
      </c>
      <c r="K124" s="33"/>
      <c r="L124" s="33" t="n">
        <v>1366</v>
      </c>
      <c r="M124" s="33"/>
      <c r="N124" s="33"/>
      <c r="O124" s="33"/>
      <c r="P124" s="33"/>
      <c r="Q124" s="33" t="n">
        <v>1968</v>
      </c>
      <c r="R124" s="33" t="n">
        <v>1944</v>
      </c>
      <c r="S124" s="33"/>
      <c r="T124" s="33"/>
      <c r="U124" s="33" t="n">
        <v>4068</v>
      </c>
      <c r="V124" s="33"/>
      <c r="W124" s="33"/>
      <c r="X124" s="33"/>
      <c r="Y124" s="33" t="n">
        <v>1541</v>
      </c>
      <c r="Z124" s="33"/>
      <c r="AA124" s="34" t="n">
        <f aca="false">SUM(K124:Z124)</f>
        <v>10887</v>
      </c>
      <c r="AB124" s="35" t="n">
        <f aca="false">SUM(AA124/H124)</f>
        <v>5981.86813186813</v>
      </c>
      <c r="AC124" s="36" t="n">
        <f aca="false">AB124/$AB$2</f>
        <v>398.791208791209</v>
      </c>
    </row>
    <row r="125" customFormat="false" ht="19.5" hidden="false" customHeight="true" outlineLevel="0" collapsed="false">
      <c r="A125" s="68" t="s">
        <v>155</v>
      </c>
      <c r="B125" s="45" t="s">
        <v>102</v>
      </c>
      <c r="C125" s="25" t="n">
        <v>1012</v>
      </c>
      <c r="D125" s="26" t="s">
        <v>156</v>
      </c>
      <c r="E125" s="27" t="s">
        <v>23</v>
      </c>
      <c r="F125" s="28" t="s">
        <v>20</v>
      </c>
      <c r="G125" s="29" t="s">
        <v>98</v>
      </c>
      <c r="H125" s="30" t="n">
        <v>1.66</v>
      </c>
      <c r="I125" s="31" t="s">
        <v>22</v>
      </c>
      <c r="J125" s="67" t="n">
        <v>45966</v>
      </c>
      <c r="K125" s="33" t="n">
        <v>205</v>
      </c>
      <c r="L125" s="33" t="n">
        <v>2743</v>
      </c>
      <c r="M125" s="33" t="n">
        <v>4472</v>
      </c>
      <c r="N125" s="33" t="n">
        <v>864</v>
      </c>
      <c r="O125" s="33"/>
      <c r="P125" s="33"/>
      <c r="Q125" s="33"/>
      <c r="R125" s="33" t="n">
        <v>2373</v>
      </c>
      <c r="S125" s="33" t="n">
        <v>3188</v>
      </c>
      <c r="T125" s="33" t="n">
        <v>3518</v>
      </c>
      <c r="U125" s="33"/>
      <c r="V125" s="33" t="n">
        <v>590</v>
      </c>
      <c r="W125" s="33" t="n">
        <v>2738</v>
      </c>
      <c r="X125" s="33" t="n">
        <v>3426</v>
      </c>
      <c r="Y125" s="33"/>
      <c r="Z125" s="33"/>
      <c r="AA125" s="34" t="n">
        <f aca="false">SUM(K125:Z125)</f>
        <v>24117</v>
      </c>
      <c r="AB125" s="35" t="n">
        <f aca="false">SUM(AA125/H125)</f>
        <v>14528.3132530121</v>
      </c>
      <c r="AC125" s="36" t="n">
        <f aca="false">AB125/$AB$2</f>
        <v>968.55421686747</v>
      </c>
    </row>
    <row r="126" customFormat="false" ht="19.5" hidden="false" customHeight="true" outlineLevel="0" collapsed="false">
      <c r="A126" s="37" t="s">
        <v>25</v>
      </c>
      <c r="B126" s="45" t="s">
        <v>26</v>
      </c>
      <c r="C126" s="25" t="n">
        <v>402</v>
      </c>
      <c r="D126" s="26" t="s">
        <v>93</v>
      </c>
      <c r="E126" s="27" t="s">
        <v>95</v>
      </c>
      <c r="F126" s="28" t="s">
        <v>33</v>
      </c>
      <c r="G126" s="29" t="s">
        <v>28</v>
      </c>
      <c r="H126" s="30" t="n">
        <v>2</v>
      </c>
      <c r="I126" s="69" t="s">
        <v>22</v>
      </c>
      <c r="J126" s="67" t="n">
        <v>45902</v>
      </c>
      <c r="K126" s="33"/>
      <c r="L126" s="33"/>
      <c r="M126" s="33" t="n">
        <v>1650</v>
      </c>
      <c r="N126" s="33" t="n">
        <v>1092</v>
      </c>
      <c r="O126" s="33" t="n">
        <v>848</v>
      </c>
      <c r="P126" s="33"/>
      <c r="Q126" s="33" t="n">
        <v>1848</v>
      </c>
      <c r="R126" s="33"/>
      <c r="S126" s="33"/>
      <c r="T126" s="33" t="n">
        <v>4608</v>
      </c>
      <c r="U126" s="33" t="n">
        <v>964</v>
      </c>
      <c r="V126" s="33" t="n">
        <v>2044</v>
      </c>
      <c r="W126" s="33"/>
      <c r="X126" s="33" t="n">
        <v>1612</v>
      </c>
      <c r="Y126" s="33" t="n">
        <v>3364</v>
      </c>
      <c r="Z126" s="33"/>
      <c r="AA126" s="34" t="n">
        <f aca="false">SUM(K126:Z126)</f>
        <v>18030</v>
      </c>
      <c r="AB126" s="35" t="n">
        <f aca="false">SUM(AA126/H126)</f>
        <v>9015</v>
      </c>
      <c r="AC126" s="36" t="n">
        <f aca="false">AB126/$AB$2</f>
        <v>601</v>
      </c>
    </row>
    <row r="127" customFormat="false" ht="19.5" hidden="false" customHeight="true" outlineLevel="0" collapsed="false">
      <c r="A127" s="46" t="s">
        <v>60</v>
      </c>
      <c r="B127" s="45" t="s">
        <v>17</v>
      </c>
      <c r="C127" s="25" t="n">
        <v>705</v>
      </c>
      <c r="D127" s="26" t="s">
        <v>154</v>
      </c>
      <c r="E127" s="27" t="s">
        <v>95</v>
      </c>
      <c r="F127" s="28" t="s">
        <v>33</v>
      </c>
      <c r="G127" s="29" t="n">
        <v>2</v>
      </c>
      <c r="H127" s="30" t="n">
        <v>0.88</v>
      </c>
      <c r="I127" s="31" t="s">
        <v>22</v>
      </c>
      <c r="J127" s="32" t="n">
        <v>45862</v>
      </c>
      <c r="K127" s="33"/>
      <c r="L127" s="33"/>
      <c r="M127" s="33"/>
      <c r="N127" s="33"/>
      <c r="O127" s="33" t="n">
        <v>1050</v>
      </c>
      <c r="P127" s="33"/>
      <c r="Q127" s="33"/>
      <c r="R127" s="33" t="n">
        <v>1840</v>
      </c>
      <c r="S127" s="33"/>
      <c r="T127" s="33"/>
      <c r="U127" s="33"/>
      <c r="V127" s="33" t="n">
        <v>1318</v>
      </c>
      <c r="W127" s="33"/>
      <c r="X127" s="33"/>
      <c r="Y127" s="33"/>
      <c r="Z127" s="33"/>
      <c r="AA127" s="34" t="n">
        <f aca="false">SUM(K127:Z127)</f>
        <v>4208</v>
      </c>
      <c r="AB127" s="35" t="n">
        <f aca="false">SUM(AA127/H127)</f>
        <v>4781.81818181818</v>
      </c>
      <c r="AC127" s="36" t="n">
        <f aca="false">AB127/$AB$2</f>
        <v>318.787878787879</v>
      </c>
    </row>
    <row r="128" customFormat="false" ht="19.5" hidden="false" customHeight="true" outlineLevel="0" collapsed="false">
      <c r="A128" s="50" t="s">
        <v>83</v>
      </c>
      <c r="B128" s="45" t="s">
        <v>84</v>
      </c>
      <c r="C128" s="25" t="n">
        <v>201</v>
      </c>
      <c r="D128" s="26" t="s">
        <v>123</v>
      </c>
      <c r="E128" s="27" t="s">
        <v>32</v>
      </c>
      <c r="F128" s="28" t="s">
        <v>33</v>
      </c>
      <c r="G128" s="29" t="n">
        <v>18</v>
      </c>
      <c r="H128" s="30" t="n">
        <v>1.25</v>
      </c>
      <c r="I128" s="31" t="s">
        <v>22</v>
      </c>
      <c r="J128" s="32" t="n">
        <v>45862</v>
      </c>
      <c r="K128" s="33"/>
      <c r="L128" s="33"/>
      <c r="M128" s="33"/>
      <c r="N128" s="33" t="n">
        <v>189</v>
      </c>
      <c r="O128" s="33" t="n">
        <v>349</v>
      </c>
      <c r="P128" s="33" t="n">
        <v>1606</v>
      </c>
      <c r="Q128" s="33"/>
      <c r="R128" s="33"/>
      <c r="S128" s="33"/>
      <c r="T128" s="33" t="n">
        <v>1031</v>
      </c>
      <c r="U128" s="33"/>
      <c r="V128" s="33" t="n">
        <v>2745</v>
      </c>
      <c r="W128" s="33"/>
      <c r="X128" s="33"/>
      <c r="Y128" s="33"/>
      <c r="Z128" s="33"/>
      <c r="AA128" s="34" t="n">
        <f aca="false">SUM(K128:Z128)</f>
        <v>5920</v>
      </c>
      <c r="AB128" s="35" t="n">
        <f aca="false">SUM(AA128/H128)</f>
        <v>4736</v>
      </c>
      <c r="AC128" s="36" t="n">
        <f aca="false">AB128/$AB$2</f>
        <v>315.733333333333</v>
      </c>
    </row>
    <row r="129" customFormat="false" ht="19.5" hidden="false" customHeight="true" outlineLevel="0" collapsed="false">
      <c r="A129" s="50" t="s">
        <v>83</v>
      </c>
      <c r="B129" s="45" t="s">
        <v>84</v>
      </c>
      <c r="C129" s="25" t="n">
        <v>205</v>
      </c>
      <c r="D129" s="26" t="s">
        <v>127</v>
      </c>
      <c r="E129" s="27" t="s">
        <v>47</v>
      </c>
      <c r="F129" s="28" t="s">
        <v>48</v>
      </c>
      <c r="G129" s="29" t="n">
        <v>12</v>
      </c>
      <c r="H129" s="30" t="n">
        <v>1.5</v>
      </c>
      <c r="I129" s="31" t="s">
        <v>22</v>
      </c>
      <c r="J129" s="32" t="n">
        <v>45867</v>
      </c>
      <c r="K129" s="33" t="n">
        <v>1670</v>
      </c>
      <c r="L129" s="33"/>
      <c r="M129" s="33"/>
      <c r="N129" s="33"/>
      <c r="O129" s="33"/>
      <c r="P129" s="33" t="n">
        <v>1802</v>
      </c>
      <c r="Q129" s="33"/>
      <c r="R129" s="33"/>
      <c r="S129" s="33"/>
      <c r="T129" s="33"/>
      <c r="U129" s="33" t="n">
        <v>3178</v>
      </c>
      <c r="V129" s="33"/>
      <c r="W129" s="33"/>
      <c r="X129" s="33" t="n">
        <v>2532</v>
      </c>
      <c r="Y129" s="33"/>
      <c r="Z129" s="33"/>
      <c r="AA129" s="34" t="n">
        <f aca="false">SUM(K129:Z129)</f>
        <v>9182</v>
      </c>
      <c r="AB129" s="35" t="n">
        <f aca="false">SUM(AA129/H129)</f>
        <v>6121.33333333333</v>
      </c>
      <c r="AC129" s="36" t="n">
        <f aca="false">AB129/$AB$2</f>
        <v>408.088888888889</v>
      </c>
    </row>
    <row r="130" customFormat="false" ht="19.5" hidden="false" customHeight="true" outlineLevel="0" collapsed="false">
      <c r="A130" s="44" t="s">
        <v>56</v>
      </c>
      <c r="B130" s="45" t="s">
        <v>57</v>
      </c>
      <c r="C130" s="25" t="n">
        <v>601</v>
      </c>
      <c r="D130" s="26" t="s">
        <v>117</v>
      </c>
      <c r="E130" s="27" t="s">
        <v>35</v>
      </c>
      <c r="F130" s="28" t="s">
        <v>20</v>
      </c>
      <c r="G130" s="29" t="n">
        <v>10</v>
      </c>
      <c r="H130" s="30" t="n">
        <v>1</v>
      </c>
      <c r="I130" s="31" t="s">
        <v>22</v>
      </c>
      <c r="J130" s="32" t="n">
        <v>45858</v>
      </c>
      <c r="K130" s="33"/>
      <c r="L130" s="33" t="n">
        <v>861</v>
      </c>
      <c r="M130" s="33"/>
      <c r="N130" s="33" t="n">
        <v>566</v>
      </c>
      <c r="O130" s="33"/>
      <c r="P130" s="33" t="n">
        <v>546</v>
      </c>
      <c r="Q130" s="33"/>
      <c r="R130" s="33" t="n">
        <v>674</v>
      </c>
      <c r="S130" s="33"/>
      <c r="T130" s="33"/>
      <c r="U130" s="33" t="n">
        <v>1016</v>
      </c>
      <c r="V130" s="33"/>
      <c r="W130" s="33" t="n">
        <v>743</v>
      </c>
      <c r="X130" s="33"/>
      <c r="Y130" s="33"/>
      <c r="Z130" s="33"/>
      <c r="AA130" s="34" t="n">
        <f aca="false">SUM(K130:Z130)</f>
        <v>4406</v>
      </c>
      <c r="AB130" s="35" t="n">
        <f aca="false">SUM(AA130/H130)</f>
        <v>4406</v>
      </c>
      <c r="AC130" s="36" t="n">
        <f aca="false">AB130/$AB$2</f>
        <v>293.733333333333</v>
      </c>
    </row>
    <row r="131" customFormat="false" ht="19.5" hidden="false" customHeight="true" outlineLevel="0" collapsed="false">
      <c r="A131" s="44" t="s">
        <v>56</v>
      </c>
      <c r="B131" s="45" t="s">
        <v>17</v>
      </c>
      <c r="C131" s="25" t="n">
        <v>704</v>
      </c>
      <c r="D131" s="26" t="s">
        <v>147</v>
      </c>
      <c r="E131" s="27" t="s">
        <v>23</v>
      </c>
      <c r="F131" s="28" t="s">
        <v>20</v>
      </c>
      <c r="G131" s="29" t="s">
        <v>44</v>
      </c>
      <c r="H131" s="30" t="n">
        <v>2</v>
      </c>
      <c r="I131" s="31" t="s">
        <v>22</v>
      </c>
      <c r="J131" s="32" t="n">
        <v>45868</v>
      </c>
      <c r="K131" s="33" t="n">
        <v>2177</v>
      </c>
      <c r="L131" s="33" t="n">
        <v>944</v>
      </c>
      <c r="M131" s="33"/>
      <c r="N131" s="33"/>
      <c r="O131" s="33"/>
      <c r="P131" s="33" t="n">
        <v>1058</v>
      </c>
      <c r="Q131" s="33" t="n">
        <v>1427</v>
      </c>
      <c r="R131" s="33"/>
      <c r="S131" s="33"/>
      <c r="T131" s="33"/>
      <c r="U131" s="33" t="n">
        <v>1410</v>
      </c>
      <c r="V131" s="33" t="n">
        <v>1872</v>
      </c>
      <c r="W131" s="33"/>
      <c r="X131" s="33"/>
      <c r="Y131" s="33" t="n">
        <v>774</v>
      </c>
      <c r="Z131" s="33"/>
      <c r="AA131" s="34" t="n">
        <f aca="false">SUM(K131:Z131)</f>
        <v>9662</v>
      </c>
      <c r="AB131" s="35" t="n">
        <f aca="false">SUM(AA131/H131)</f>
        <v>4831</v>
      </c>
      <c r="AC131" s="36" t="n">
        <f aca="false">AB131/$AB$2</f>
        <v>322.066666666667</v>
      </c>
    </row>
    <row r="132" customFormat="false" ht="19.5" hidden="false" customHeight="true" outlineLevel="0" collapsed="false">
      <c r="A132" s="46" t="s">
        <v>60</v>
      </c>
      <c r="B132" s="45" t="s">
        <v>17</v>
      </c>
      <c r="C132" s="25" t="n">
        <v>705</v>
      </c>
      <c r="D132" s="26" t="s">
        <v>154</v>
      </c>
      <c r="E132" s="27" t="s">
        <v>32</v>
      </c>
      <c r="F132" s="28" t="s">
        <v>33</v>
      </c>
      <c r="G132" s="29" t="s">
        <v>24</v>
      </c>
      <c r="H132" s="30" t="n">
        <v>1.52</v>
      </c>
      <c r="I132" s="31" t="s">
        <v>22</v>
      </c>
      <c r="J132" s="32" t="n">
        <v>45860</v>
      </c>
      <c r="K132" s="33" t="n">
        <v>1518</v>
      </c>
      <c r="L132" s="33"/>
      <c r="M132" s="33" t="n">
        <v>1092</v>
      </c>
      <c r="N132" s="33"/>
      <c r="O132" s="33"/>
      <c r="P132" s="33"/>
      <c r="Q132" s="33"/>
      <c r="R132" s="33" t="n">
        <v>2554</v>
      </c>
      <c r="S132" s="33"/>
      <c r="T132" s="33" t="n">
        <v>2752</v>
      </c>
      <c r="U132" s="33"/>
      <c r="V132" s="33" t="n">
        <v>3130</v>
      </c>
      <c r="W132" s="33"/>
      <c r="X132" s="33"/>
      <c r="Y132" s="33" t="n">
        <v>1159</v>
      </c>
      <c r="Z132" s="33"/>
      <c r="AA132" s="34" t="n">
        <f aca="false">SUM(K132:Z132)</f>
        <v>12205</v>
      </c>
      <c r="AB132" s="35" t="n">
        <f aca="false">SUM(AA132/H132)</f>
        <v>8029.6052631579</v>
      </c>
      <c r="AC132" s="36" t="n">
        <f aca="false">AB132/$AB$2</f>
        <v>535.30701754386</v>
      </c>
    </row>
    <row r="133" customFormat="false" ht="19.5" hidden="false" customHeight="true" outlineLevel="0" collapsed="false">
      <c r="A133" s="47" t="s">
        <v>65</v>
      </c>
      <c r="B133" s="45" t="s">
        <v>66</v>
      </c>
      <c r="C133" s="25" t="n">
        <v>904</v>
      </c>
      <c r="D133" s="26" t="s">
        <v>157</v>
      </c>
      <c r="E133" s="27" t="s">
        <v>86</v>
      </c>
      <c r="F133" s="28" t="s">
        <v>87</v>
      </c>
      <c r="G133" s="29" t="s">
        <v>118</v>
      </c>
      <c r="H133" s="30" t="n">
        <v>2.75</v>
      </c>
      <c r="I133" s="31" t="s">
        <v>22</v>
      </c>
      <c r="J133" s="32" t="n">
        <v>45869</v>
      </c>
      <c r="K133" s="33" t="n">
        <v>3788</v>
      </c>
      <c r="L133" s="33"/>
      <c r="M133" s="33"/>
      <c r="N133" s="33"/>
      <c r="O133" s="33" t="n">
        <v>3652</v>
      </c>
      <c r="P133" s="33"/>
      <c r="Q133" s="33"/>
      <c r="R133" s="33"/>
      <c r="S133" s="33"/>
      <c r="T133" s="33" t="n">
        <v>3856</v>
      </c>
      <c r="U133" s="33"/>
      <c r="V133" s="33"/>
      <c r="W133" s="33"/>
      <c r="X133" s="33" t="n">
        <v>3382</v>
      </c>
      <c r="Y133" s="33" t="n">
        <v>7743</v>
      </c>
      <c r="Z133" s="33"/>
      <c r="AA133" s="34" t="n">
        <f aca="false">SUM(K133:Z133)</f>
        <v>22421</v>
      </c>
      <c r="AB133" s="35" t="n">
        <f aca="false">SUM(AA133/H133)</f>
        <v>8153.09090909091</v>
      </c>
      <c r="AC133" s="36" t="n">
        <f aca="false">AB133/$AB$2</f>
        <v>543.539393939394</v>
      </c>
    </row>
    <row r="134" customFormat="false" ht="19.5" hidden="false" customHeight="true" outlineLevel="0" collapsed="false">
      <c r="A134" s="47" t="s">
        <v>65</v>
      </c>
      <c r="B134" s="45" t="s">
        <v>66</v>
      </c>
      <c r="C134" s="25" t="n">
        <v>906</v>
      </c>
      <c r="D134" s="26" t="s">
        <v>158</v>
      </c>
      <c r="E134" s="27" t="s">
        <v>23</v>
      </c>
      <c r="F134" s="28" t="s">
        <v>20</v>
      </c>
      <c r="G134" s="29" t="s">
        <v>81</v>
      </c>
      <c r="H134" s="30" t="n">
        <v>1.8</v>
      </c>
      <c r="I134" s="31" t="s">
        <v>22</v>
      </c>
      <c r="J134" s="32" t="n">
        <v>45915</v>
      </c>
      <c r="K134" s="33"/>
      <c r="L134" s="33"/>
      <c r="M134" s="33"/>
      <c r="N134" s="33" t="n">
        <v>2476</v>
      </c>
      <c r="O134" s="33" t="n">
        <v>2614</v>
      </c>
      <c r="P134" s="33"/>
      <c r="Q134" s="33"/>
      <c r="R134" s="33"/>
      <c r="S134" s="33"/>
      <c r="T134" s="33"/>
      <c r="U134" s="33" t="n">
        <v>7328</v>
      </c>
      <c r="V134" s="33"/>
      <c r="W134" s="33"/>
      <c r="X134" s="33"/>
      <c r="Y134" s="33"/>
      <c r="Z134" s="33"/>
      <c r="AA134" s="34" t="n">
        <f aca="false">SUM(K134:Z134)</f>
        <v>12418</v>
      </c>
      <c r="AB134" s="35" t="n">
        <f aca="false">SUM(AA134/H134)</f>
        <v>6898.88888888889</v>
      </c>
      <c r="AC134" s="36" t="n">
        <f aca="false">AB134/$AB$2</f>
        <v>459.925925925926</v>
      </c>
    </row>
    <row r="135" customFormat="false" ht="19.5" hidden="false" customHeight="true" outlineLevel="0" collapsed="false">
      <c r="A135" s="68" t="s">
        <v>155</v>
      </c>
      <c r="B135" s="45" t="s">
        <v>102</v>
      </c>
      <c r="C135" s="25" t="n">
        <v>1012</v>
      </c>
      <c r="D135" s="26" t="s">
        <v>156</v>
      </c>
      <c r="E135" s="27" t="s">
        <v>38</v>
      </c>
      <c r="F135" s="28" t="s">
        <v>33</v>
      </c>
      <c r="G135" s="29" t="s">
        <v>129</v>
      </c>
      <c r="H135" s="30" t="n">
        <v>1.52</v>
      </c>
      <c r="I135" s="31" t="s">
        <v>39</v>
      </c>
      <c r="J135" s="32" t="n">
        <v>46077</v>
      </c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 t="n">
        <v>2418</v>
      </c>
      <c r="W135" s="33" t="n">
        <v>4416</v>
      </c>
      <c r="X135" s="33"/>
      <c r="Y135" s="33"/>
      <c r="Z135" s="33"/>
      <c r="AA135" s="34" t="n">
        <f aca="false">SUM(K135:Z135)</f>
        <v>6834</v>
      </c>
      <c r="AB135" s="35" t="n">
        <f aca="false">SUM(AA135/H135)</f>
        <v>4496.05263157895</v>
      </c>
      <c r="AC135" s="36" t="n">
        <f aca="false">AB135/$AB$2</f>
        <v>299.736842105263</v>
      </c>
    </row>
    <row r="136" customFormat="false" ht="19.5" hidden="false" customHeight="true" outlineLevel="0" collapsed="false">
      <c r="A136" s="44" t="s">
        <v>56</v>
      </c>
      <c r="B136" s="45" t="s">
        <v>17</v>
      </c>
      <c r="C136" s="25" t="n">
        <v>704</v>
      </c>
      <c r="D136" s="26" t="s">
        <v>147</v>
      </c>
      <c r="E136" s="27" t="s">
        <v>159</v>
      </c>
      <c r="F136" s="28" t="s">
        <v>87</v>
      </c>
      <c r="G136" s="29" t="n">
        <v>3</v>
      </c>
      <c r="H136" s="30" t="n">
        <v>1</v>
      </c>
      <c r="I136" s="31" t="s">
        <v>22</v>
      </c>
      <c r="J136" s="32" t="n">
        <v>45896</v>
      </c>
      <c r="K136" s="33"/>
      <c r="L136" s="33"/>
      <c r="M136" s="33"/>
      <c r="N136" s="33"/>
      <c r="O136" s="33"/>
      <c r="P136" s="33" t="n">
        <v>2184</v>
      </c>
      <c r="Q136" s="33"/>
      <c r="R136" s="33"/>
      <c r="S136" s="33"/>
      <c r="T136" s="33"/>
      <c r="U136" s="33" t="n">
        <v>2154</v>
      </c>
      <c r="V136" s="33" t="n">
        <v>301</v>
      </c>
      <c r="W136" s="33"/>
      <c r="X136" s="33"/>
      <c r="Y136" s="33" t="n">
        <v>2313</v>
      </c>
      <c r="Z136" s="33"/>
      <c r="AA136" s="34" t="n">
        <f aca="false">SUM(K136:Z136)</f>
        <v>6952</v>
      </c>
      <c r="AB136" s="35" t="n">
        <f aca="false">SUM(AA136/H136)</f>
        <v>6952</v>
      </c>
      <c r="AC136" s="36" t="n">
        <f aca="false">AB136/$AB$2</f>
        <v>463.466666666667</v>
      </c>
    </row>
    <row r="137" customFormat="false" ht="19.5" hidden="false" customHeight="true" outlineLevel="0" collapsed="false">
      <c r="A137" s="47" t="s">
        <v>65</v>
      </c>
      <c r="B137" s="45" t="s">
        <v>66</v>
      </c>
      <c r="C137" s="25" t="n">
        <v>905</v>
      </c>
      <c r="D137" s="26" t="s">
        <v>143</v>
      </c>
      <c r="E137" s="27" t="s">
        <v>47</v>
      </c>
      <c r="F137" s="28" t="s">
        <v>48</v>
      </c>
      <c r="G137" s="29" t="s">
        <v>160</v>
      </c>
      <c r="H137" s="30" t="n">
        <v>3</v>
      </c>
      <c r="I137" s="31" t="s">
        <v>22</v>
      </c>
      <c r="J137" s="32" t="n">
        <v>45875</v>
      </c>
      <c r="K137" s="33" t="n">
        <v>454</v>
      </c>
      <c r="L137" s="33"/>
      <c r="M137" s="33"/>
      <c r="N137" s="33"/>
      <c r="O137" s="33" t="n">
        <v>3819</v>
      </c>
      <c r="P137" s="33"/>
      <c r="Q137" s="33"/>
      <c r="R137" s="33" t="n">
        <v>14583</v>
      </c>
      <c r="S137" s="33" t="n">
        <v>4339</v>
      </c>
      <c r="T137" s="33"/>
      <c r="U137" s="33"/>
      <c r="V137" s="33"/>
      <c r="W137" s="33" t="n">
        <v>3525</v>
      </c>
      <c r="X137" s="33" t="n">
        <v>12345</v>
      </c>
      <c r="Y137" s="33"/>
      <c r="Z137" s="33"/>
      <c r="AA137" s="34" t="n">
        <f aca="false">SUM(K137:Z137)</f>
        <v>39065</v>
      </c>
      <c r="AB137" s="35" t="n">
        <f aca="false">SUM(AA137/H137)</f>
        <v>13021.6666666667</v>
      </c>
      <c r="AC137" s="36" t="n">
        <f aca="false">AB137/$AB$2</f>
        <v>868.111111111111</v>
      </c>
    </row>
    <row r="138" customFormat="false" ht="19.5" hidden="false" customHeight="true" outlineLevel="0" collapsed="false">
      <c r="A138" s="51" t="s">
        <v>96</v>
      </c>
      <c r="B138" s="45" t="s">
        <v>66</v>
      </c>
      <c r="C138" s="25" t="n">
        <v>901</v>
      </c>
      <c r="D138" s="26" t="s">
        <v>97</v>
      </c>
      <c r="E138" s="27" t="s">
        <v>86</v>
      </c>
      <c r="F138" s="28" t="s">
        <v>87</v>
      </c>
      <c r="G138" s="29" t="s">
        <v>63</v>
      </c>
      <c r="H138" s="30" t="n">
        <v>2</v>
      </c>
      <c r="I138" s="31" t="s">
        <v>22</v>
      </c>
      <c r="J138" s="32" t="n">
        <v>45887</v>
      </c>
      <c r="K138" s="33"/>
      <c r="L138" s="33"/>
      <c r="M138" s="33"/>
      <c r="N138" s="33" t="n">
        <v>1108</v>
      </c>
      <c r="O138" s="33" t="n">
        <v>5446</v>
      </c>
      <c r="P138" s="33" t="n">
        <v>3078</v>
      </c>
      <c r="Q138" s="33"/>
      <c r="R138" s="33" t="n">
        <v>1243</v>
      </c>
      <c r="S138" s="33"/>
      <c r="T138" s="33"/>
      <c r="U138" s="33"/>
      <c r="V138" s="33"/>
      <c r="W138" s="33"/>
      <c r="X138" s="33"/>
      <c r="Y138" s="33"/>
      <c r="Z138" s="33"/>
      <c r="AA138" s="34" t="n">
        <f aca="false">SUM(K138:Z138)</f>
        <v>10875</v>
      </c>
      <c r="AB138" s="35" t="n">
        <f aca="false">SUM(AA138/H138)</f>
        <v>5437.5</v>
      </c>
      <c r="AC138" s="36" t="n">
        <f aca="false">AB138/$AB$2</f>
        <v>362.5</v>
      </c>
    </row>
    <row r="139" customFormat="false" ht="19.5" hidden="false" customHeight="true" outlineLevel="0" collapsed="false">
      <c r="A139" s="47" t="s">
        <v>65</v>
      </c>
      <c r="B139" s="45" t="s">
        <v>66</v>
      </c>
      <c r="C139" s="25" t="n">
        <v>903</v>
      </c>
      <c r="D139" s="26" t="s">
        <v>67</v>
      </c>
      <c r="E139" s="27" t="s">
        <v>32</v>
      </c>
      <c r="F139" s="28" t="s">
        <v>33</v>
      </c>
      <c r="G139" s="29" t="n">
        <v>5</v>
      </c>
      <c r="H139" s="30" t="n">
        <v>1.25</v>
      </c>
      <c r="I139" s="31" t="s">
        <v>22</v>
      </c>
      <c r="J139" s="70" t="n">
        <v>45911</v>
      </c>
      <c r="K139" s="33" t="n">
        <v>7194</v>
      </c>
      <c r="L139" s="33"/>
      <c r="M139" s="33"/>
      <c r="N139" s="33"/>
      <c r="O139" s="33"/>
      <c r="P139" s="33"/>
      <c r="Q139" s="33"/>
      <c r="R139" s="33" t="n">
        <v>6074</v>
      </c>
      <c r="S139" s="33"/>
      <c r="T139" s="33"/>
      <c r="U139" s="33"/>
      <c r="V139" s="33"/>
      <c r="W139" s="33"/>
      <c r="X139" s="33" t="n">
        <v>467</v>
      </c>
      <c r="Y139" s="33" t="n">
        <v>8144</v>
      </c>
      <c r="Z139" s="33"/>
      <c r="AA139" s="34" t="n">
        <f aca="false">SUM(K139:Z139)</f>
        <v>21879</v>
      </c>
      <c r="AB139" s="35" t="n">
        <f aca="false">SUM(AA139/H139)</f>
        <v>17503.2</v>
      </c>
      <c r="AC139" s="36" t="n">
        <f aca="false">AB139/$AB$2</f>
        <v>1166.88</v>
      </c>
    </row>
    <row r="140" customFormat="false" ht="19.5" hidden="false" customHeight="true" outlineLevel="0" collapsed="false">
      <c r="A140" s="50" t="s">
        <v>83</v>
      </c>
      <c r="B140" s="45" t="s">
        <v>84</v>
      </c>
      <c r="C140" s="25" t="n">
        <v>204</v>
      </c>
      <c r="D140" s="26" t="s">
        <v>85</v>
      </c>
      <c r="E140" s="27" t="s">
        <v>128</v>
      </c>
      <c r="F140" s="28" t="s">
        <v>20</v>
      </c>
      <c r="G140" s="29" t="n">
        <v>9</v>
      </c>
      <c r="H140" s="30" t="n">
        <v>1.3</v>
      </c>
      <c r="I140" s="41" t="s">
        <v>34</v>
      </c>
      <c r="J140" s="70" t="n">
        <v>45793</v>
      </c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4" t="n">
        <f aca="false">SUM(K140:Z140)</f>
        <v>0</v>
      </c>
      <c r="AB140" s="35" t="n">
        <f aca="false">SUM(AA140/H140)</f>
        <v>0</v>
      </c>
      <c r="AC140" s="36" t="n">
        <f aca="false">AB140/$AB$2</f>
        <v>0</v>
      </c>
    </row>
    <row r="141" customFormat="false" ht="19.5" hidden="false" customHeight="true" outlineLevel="0" collapsed="false">
      <c r="A141" s="47" t="s">
        <v>65</v>
      </c>
      <c r="B141" s="45" t="s">
        <v>66</v>
      </c>
      <c r="C141" s="25" t="n">
        <v>906</v>
      </c>
      <c r="D141" s="26" t="s">
        <v>158</v>
      </c>
      <c r="E141" s="27" t="s">
        <v>161</v>
      </c>
      <c r="F141" s="28" t="s">
        <v>87</v>
      </c>
      <c r="G141" s="29" t="n">
        <v>1</v>
      </c>
      <c r="H141" s="30" t="n">
        <v>1.74</v>
      </c>
      <c r="I141" s="31" t="s">
        <v>22</v>
      </c>
      <c r="J141" s="70" t="n">
        <v>45911</v>
      </c>
      <c r="K141" s="33"/>
      <c r="L141" s="33"/>
      <c r="M141" s="33"/>
      <c r="N141" s="33"/>
      <c r="O141" s="33"/>
      <c r="P141" s="33" t="n">
        <v>9077</v>
      </c>
      <c r="Q141" s="33"/>
      <c r="R141" s="33"/>
      <c r="S141" s="33" t="n">
        <v>4088</v>
      </c>
      <c r="T141" s="33"/>
      <c r="U141" s="33"/>
      <c r="V141" s="33"/>
      <c r="W141" s="33"/>
      <c r="X141" s="33" t="n">
        <v>5639</v>
      </c>
      <c r="Y141" s="33" t="n">
        <v>1471</v>
      </c>
      <c r="Z141" s="33"/>
      <c r="AA141" s="34" t="n">
        <f aca="false">SUM(K141:Z141)</f>
        <v>20275</v>
      </c>
      <c r="AB141" s="35" t="n">
        <f aca="false">SUM(AA141/H141)</f>
        <v>11652.2988505747</v>
      </c>
      <c r="AC141" s="36" t="n">
        <f aca="false">AB141/$AB$2</f>
        <v>776.819923371648</v>
      </c>
    </row>
    <row r="142" customFormat="false" ht="19.5" hidden="false" customHeight="true" outlineLevel="0" collapsed="false">
      <c r="A142" s="24" t="s">
        <v>41</v>
      </c>
      <c r="B142" s="45" t="s">
        <v>42</v>
      </c>
      <c r="C142" s="25" t="n">
        <v>102</v>
      </c>
      <c r="D142" s="26" t="s">
        <v>92</v>
      </c>
      <c r="E142" s="27" t="s">
        <v>112</v>
      </c>
      <c r="F142" s="28" t="s">
        <v>48</v>
      </c>
      <c r="G142" s="29" t="s">
        <v>162</v>
      </c>
      <c r="H142" s="30" t="n">
        <v>2.62</v>
      </c>
      <c r="I142" s="31" t="s">
        <v>22</v>
      </c>
      <c r="J142" s="70" t="n">
        <v>45901</v>
      </c>
      <c r="K142" s="33" t="n">
        <v>7390</v>
      </c>
      <c r="L142" s="33"/>
      <c r="M142" s="33"/>
      <c r="N142" s="33"/>
      <c r="O142" s="33"/>
      <c r="P142" s="33" t="n">
        <v>6672</v>
      </c>
      <c r="Q142" s="33"/>
      <c r="R142" s="33"/>
      <c r="S142" s="33"/>
      <c r="T142" s="33" t="n">
        <v>6002</v>
      </c>
      <c r="U142" s="33" t="n">
        <v>5356</v>
      </c>
      <c r="V142" s="33" t="n">
        <v>2633</v>
      </c>
      <c r="W142" s="33" t="n">
        <v>139</v>
      </c>
      <c r="X142" s="33" t="n">
        <v>6382</v>
      </c>
      <c r="Y142" s="33" t="n">
        <v>1510</v>
      </c>
      <c r="Z142" s="33"/>
      <c r="AA142" s="34" t="n">
        <f aca="false">SUM(K142:Z142)</f>
        <v>36084</v>
      </c>
      <c r="AB142" s="35" t="n">
        <f aca="false">SUM(AA142/H142)</f>
        <v>13772.5190839695</v>
      </c>
      <c r="AC142" s="36" t="n">
        <f aca="false">AB142/$AB$2</f>
        <v>918.167938931298</v>
      </c>
    </row>
    <row r="143" customFormat="false" ht="19.5" hidden="false" customHeight="true" outlineLevel="0" collapsed="false">
      <c r="A143" s="50" t="s">
        <v>83</v>
      </c>
      <c r="B143" s="45" t="s">
        <v>84</v>
      </c>
      <c r="C143" s="25" t="n">
        <v>203</v>
      </c>
      <c r="D143" s="26" t="s">
        <v>141</v>
      </c>
      <c r="E143" s="27" t="s">
        <v>32</v>
      </c>
      <c r="F143" s="28" t="s">
        <v>33</v>
      </c>
      <c r="G143" s="29" t="n">
        <v>22</v>
      </c>
      <c r="H143" s="30" t="n">
        <v>1.14</v>
      </c>
      <c r="I143" s="31" t="s">
        <v>22</v>
      </c>
      <c r="J143" s="70" t="n">
        <v>45895</v>
      </c>
      <c r="K143" s="33" t="n">
        <v>1650</v>
      </c>
      <c r="L143" s="33"/>
      <c r="M143" s="33"/>
      <c r="N143" s="33" t="n">
        <v>900</v>
      </c>
      <c r="O143" s="33"/>
      <c r="P143" s="33"/>
      <c r="Q143" s="33" t="n">
        <v>2492</v>
      </c>
      <c r="R143" s="33"/>
      <c r="S143" s="33"/>
      <c r="T143" s="33" t="n">
        <v>3166</v>
      </c>
      <c r="U143" s="33"/>
      <c r="V143" s="33"/>
      <c r="W143" s="33" t="n">
        <v>1666</v>
      </c>
      <c r="X143" s="33" t="n">
        <v>305</v>
      </c>
      <c r="Y143" s="33"/>
      <c r="Z143" s="33"/>
      <c r="AA143" s="34" t="n">
        <f aca="false">SUM(K143:Z143)</f>
        <v>10179</v>
      </c>
      <c r="AB143" s="35" t="n">
        <f aca="false">SUM(AA143/H143)</f>
        <v>8928.94736842105</v>
      </c>
      <c r="AC143" s="36" t="n">
        <f aca="false">AB143/$AB$2</f>
        <v>595.263157894737</v>
      </c>
    </row>
    <row r="144" customFormat="false" ht="19.5" hidden="false" customHeight="true" outlineLevel="0" collapsed="false">
      <c r="A144" s="39" t="s">
        <v>29</v>
      </c>
      <c r="B144" s="45" t="s">
        <v>30</v>
      </c>
      <c r="C144" s="25" t="n">
        <v>502</v>
      </c>
      <c r="D144" s="26" t="s">
        <v>31</v>
      </c>
      <c r="E144" s="27" t="s">
        <v>38</v>
      </c>
      <c r="F144" s="28" t="s">
        <v>20</v>
      </c>
      <c r="G144" s="29" t="n">
        <v>10</v>
      </c>
      <c r="H144" s="30" t="n">
        <v>0.62</v>
      </c>
      <c r="I144" s="41" t="s">
        <v>39</v>
      </c>
      <c r="J144" s="70" t="n">
        <v>46057</v>
      </c>
      <c r="K144" s="33"/>
      <c r="L144" s="33"/>
      <c r="M144" s="33"/>
      <c r="N144" s="33"/>
      <c r="O144" s="33" t="n">
        <v>338</v>
      </c>
      <c r="P144" s="33"/>
      <c r="Q144" s="33"/>
      <c r="R144" s="33"/>
      <c r="S144" s="33"/>
      <c r="T144" s="33" t="n">
        <v>1262</v>
      </c>
      <c r="U144" s="33"/>
      <c r="V144" s="33"/>
      <c r="W144" s="33" t="n">
        <v>1612</v>
      </c>
      <c r="X144" s="33"/>
      <c r="Y144" s="33"/>
      <c r="Z144" s="33"/>
      <c r="AA144" s="34" t="n">
        <f aca="false">SUM(K144:Z144)</f>
        <v>3212</v>
      </c>
      <c r="AB144" s="35" t="n">
        <f aca="false">SUM(AA144/H144)</f>
        <v>5180.64516129032</v>
      </c>
      <c r="AC144" s="36" t="n">
        <f aca="false">AB144/$AB$2</f>
        <v>345.376344086022</v>
      </c>
    </row>
    <row r="145" customFormat="false" ht="19.5" hidden="false" customHeight="true" outlineLevel="0" collapsed="false">
      <c r="A145" s="46" t="s">
        <v>60</v>
      </c>
      <c r="B145" s="45" t="s">
        <v>17</v>
      </c>
      <c r="C145" s="25" t="n">
        <v>703</v>
      </c>
      <c r="D145" s="26" t="s">
        <v>149</v>
      </c>
      <c r="E145" s="27" t="s">
        <v>145</v>
      </c>
      <c r="F145" s="28" t="s">
        <v>48</v>
      </c>
      <c r="G145" s="29" t="n">
        <v>0</v>
      </c>
      <c r="H145" s="30" t="n">
        <v>1.5</v>
      </c>
      <c r="I145" s="31" t="s">
        <v>22</v>
      </c>
      <c r="J145" s="70" t="n">
        <v>45921</v>
      </c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4" t="n">
        <f aca="false">SUM(K145:Z145)</f>
        <v>0</v>
      </c>
      <c r="AB145" s="35" t="n">
        <f aca="false">SUM(AA145/H145)</f>
        <v>0</v>
      </c>
      <c r="AC145" s="36" t="n">
        <f aca="false">AB145/$AB$2</f>
        <v>0</v>
      </c>
    </row>
    <row r="146" customFormat="false" ht="19.5" hidden="false" customHeight="true" outlineLevel="0" collapsed="false">
      <c r="A146" s="46" t="s">
        <v>60</v>
      </c>
      <c r="B146" s="45" t="s">
        <v>17</v>
      </c>
      <c r="C146" s="25" t="n">
        <v>604</v>
      </c>
      <c r="D146" s="26" t="s">
        <v>163</v>
      </c>
      <c r="E146" s="27" t="s">
        <v>164</v>
      </c>
      <c r="F146" s="28" t="s">
        <v>87</v>
      </c>
      <c r="G146" s="29" t="s">
        <v>98</v>
      </c>
      <c r="H146" s="30" t="n">
        <v>1.6</v>
      </c>
      <c r="I146" s="31" t="s">
        <v>22</v>
      </c>
      <c r="J146" s="70" t="n">
        <v>45892</v>
      </c>
      <c r="K146" s="33"/>
      <c r="L146" s="33"/>
      <c r="M146" s="33" t="n">
        <v>2802</v>
      </c>
      <c r="N146" s="33" t="n">
        <v>5522</v>
      </c>
      <c r="O146" s="33"/>
      <c r="P146" s="33"/>
      <c r="Q146" s="33"/>
      <c r="R146" s="33"/>
      <c r="S146" s="33"/>
      <c r="T146" s="33"/>
      <c r="U146" s="33" t="n">
        <v>3586</v>
      </c>
      <c r="V146" s="33" t="n">
        <v>3830</v>
      </c>
      <c r="W146" s="33"/>
      <c r="X146" s="33"/>
      <c r="Y146" s="33"/>
      <c r="Z146" s="33"/>
      <c r="AA146" s="34" t="n">
        <f aca="false">SUM(K146:Z146)</f>
        <v>15740</v>
      </c>
      <c r="AB146" s="35" t="n">
        <f aca="false">SUM(AA146/H146)</f>
        <v>9837.5</v>
      </c>
      <c r="AC146" s="36" t="n">
        <f aca="false">AB146/$AB$2</f>
        <v>655.833333333333</v>
      </c>
    </row>
    <row r="147" customFormat="false" ht="19.5" hidden="false" customHeight="true" outlineLevel="0" collapsed="false">
      <c r="A147" s="24" t="s">
        <v>41</v>
      </c>
      <c r="B147" s="45" t="s">
        <v>42</v>
      </c>
      <c r="C147" s="25" t="n">
        <v>101</v>
      </c>
      <c r="D147" s="26" t="s">
        <v>53</v>
      </c>
      <c r="E147" s="27" t="s">
        <v>47</v>
      </c>
      <c r="F147" s="28" t="s">
        <v>48</v>
      </c>
      <c r="G147" s="29" t="s">
        <v>36</v>
      </c>
      <c r="H147" s="30" t="n">
        <v>2.4</v>
      </c>
      <c r="I147" s="31" t="s">
        <v>22</v>
      </c>
      <c r="J147" s="70" t="n">
        <v>45931</v>
      </c>
      <c r="K147" s="33"/>
      <c r="L147" s="33" t="n">
        <v>4055</v>
      </c>
      <c r="M147" s="33" t="n">
        <v>313</v>
      </c>
      <c r="N147" s="33"/>
      <c r="O147" s="33"/>
      <c r="P147" s="33" t="n">
        <v>7016</v>
      </c>
      <c r="Q147" s="33"/>
      <c r="R147" s="33"/>
      <c r="S147" s="33" t="n">
        <v>619</v>
      </c>
      <c r="T147" s="33" t="n">
        <v>7520</v>
      </c>
      <c r="U147" s="33"/>
      <c r="V147" s="33" t="n">
        <v>2881</v>
      </c>
      <c r="W147" s="33" t="n">
        <v>4986</v>
      </c>
      <c r="X147" s="33"/>
      <c r="Y147" s="33"/>
      <c r="Z147" s="33"/>
      <c r="AA147" s="34" t="n">
        <f aca="false">SUM(K147:Z147)</f>
        <v>27390</v>
      </c>
      <c r="AB147" s="35" t="n">
        <f aca="false">SUM(AA147/H147)</f>
        <v>11412.5</v>
      </c>
      <c r="AC147" s="36" t="n">
        <f aca="false">AB147/$AB$2</f>
        <v>760.833333333333</v>
      </c>
    </row>
    <row r="148" customFormat="false" ht="19.5" hidden="false" customHeight="true" outlineLevel="0" collapsed="false">
      <c r="A148" s="24" t="s">
        <v>41</v>
      </c>
      <c r="B148" s="45" t="s">
        <v>42</v>
      </c>
      <c r="C148" s="25" t="n">
        <v>103</v>
      </c>
      <c r="D148" s="26" t="s">
        <v>124</v>
      </c>
      <c r="E148" s="27" t="s">
        <v>19</v>
      </c>
      <c r="F148" s="28" t="s">
        <v>20</v>
      </c>
      <c r="G148" s="29" t="s">
        <v>165</v>
      </c>
      <c r="H148" s="30" t="n">
        <v>3.46</v>
      </c>
      <c r="I148" s="31" t="s">
        <v>22</v>
      </c>
      <c r="J148" s="32" t="n">
        <v>45870</v>
      </c>
      <c r="K148" s="33"/>
      <c r="L148" s="33"/>
      <c r="M148" s="33" t="n">
        <v>3272</v>
      </c>
      <c r="N148" s="33" t="n">
        <v>1332</v>
      </c>
      <c r="O148" s="33"/>
      <c r="P148" s="33" t="n">
        <v>1468</v>
      </c>
      <c r="Q148" s="33" t="n">
        <v>1443</v>
      </c>
      <c r="R148" s="33" t="n">
        <v>173</v>
      </c>
      <c r="S148" s="33" t="n">
        <v>2857</v>
      </c>
      <c r="T148" s="33" t="n">
        <v>890</v>
      </c>
      <c r="U148" s="33"/>
      <c r="V148" s="33"/>
      <c r="W148" s="33" t="n">
        <v>2648</v>
      </c>
      <c r="X148" s="33" t="n">
        <v>832</v>
      </c>
      <c r="Y148" s="33"/>
      <c r="Z148" s="33"/>
      <c r="AA148" s="34" t="n">
        <f aca="false">SUM(K148:Z148)</f>
        <v>14915</v>
      </c>
      <c r="AB148" s="35" t="n">
        <f aca="false">SUM(AA148/H148)</f>
        <v>4310.6936416185</v>
      </c>
      <c r="AC148" s="36" t="n">
        <f aca="false">AB148/$AB$2</f>
        <v>287.3795761079</v>
      </c>
    </row>
    <row r="149" customFormat="false" ht="19.5" hidden="false" customHeight="true" outlineLevel="0" collapsed="false">
      <c r="A149" s="44" t="s">
        <v>56</v>
      </c>
      <c r="B149" s="45" t="s">
        <v>57</v>
      </c>
      <c r="C149" s="25" t="n">
        <v>603</v>
      </c>
      <c r="D149" s="26" t="s">
        <v>58</v>
      </c>
      <c r="E149" s="27" t="s">
        <v>32</v>
      </c>
      <c r="F149" s="28" t="s">
        <v>33</v>
      </c>
      <c r="G149" s="29" t="n">
        <v>10</v>
      </c>
      <c r="H149" s="30" t="n">
        <v>1</v>
      </c>
      <c r="I149" s="31" t="s">
        <v>22</v>
      </c>
      <c r="J149" s="70" t="n">
        <v>45885</v>
      </c>
      <c r="K149" s="33"/>
      <c r="L149" s="33" t="n">
        <v>2116</v>
      </c>
      <c r="M149" s="33"/>
      <c r="N149" s="33"/>
      <c r="O149" s="33"/>
      <c r="P149" s="33" t="n">
        <v>1154</v>
      </c>
      <c r="Q149" s="33" t="n">
        <v>517</v>
      </c>
      <c r="R149" s="33"/>
      <c r="S149" s="33"/>
      <c r="T149" s="33" t="n">
        <v>2056</v>
      </c>
      <c r="U149" s="33" t="n">
        <v>845</v>
      </c>
      <c r="V149" s="33"/>
      <c r="W149" s="33"/>
      <c r="X149" s="33"/>
      <c r="Y149" s="33" t="n">
        <v>2278</v>
      </c>
      <c r="Z149" s="33"/>
      <c r="AA149" s="34" t="n">
        <f aca="false">SUM(K149:Z149)</f>
        <v>8966</v>
      </c>
      <c r="AB149" s="35" t="n">
        <f aca="false">SUM(AA149/H149)</f>
        <v>8966</v>
      </c>
      <c r="AC149" s="36" t="n">
        <f aca="false">AB149/$AB$2</f>
        <v>597.733333333333</v>
      </c>
    </row>
    <row r="150" customFormat="false" ht="19.5" hidden="false" customHeight="true" outlineLevel="0" collapsed="false">
      <c r="A150" s="50" t="s">
        <v>83</v>
      </c>
      <c r="B150" s="45" t="s">
        <v>84</v>
      </c>
      <c r="C150" s="25" t="n">
        <v>204</v>
      </c>
      <c r="D150" s="26" t="s">
        <v>85</v>
      </c>
      <c r="E150" s="27" t="s">
        <v>86</v>
      </c>
      <c r="F150" s="28" t="s">
        <v>87</v>
      </c>
      <c r="G150" s="29" t="n">
        <v>2</v>
      </c>
      <c r="H150" s="30" t="n">
        <v>1</v>
      </c>
      <c r="I150" s="31" t="s">
        <v>22</v>
      </c>
      <c r="J150" s="70" t="n">
        <v>45905</v>
      </c>
      <c r="K150" s="33" t="n">
        <v>573</v>
      </c>
      <c r="L150" s="33"/>
      <c r="M150" s="33"/>
      <c r="N150" s="33"/>
      <c r="O150" s="33"/>
      <c r="P150" s="33"/>
      <c r="Q150" s="33"/>
      <c r="R150" s="33"/>
      <c r="S150" s="33" t="n">
        <v>715</v>
      </c>
      <c r="T150" s="33" t="n">
        <v>1336</v>
      </c>
      <c r="U150" s="33"/>
      <c r="V150" s="33"/>
      <c r="W150" s="33"/>
      <c r="X150" s="33" t="n">
        <v>1917</v>
      </c>
      <c r="Y150" s="33"/>
      <c r="Z150" s="33"/>
      <c r="AA150" s="34" t="n">
        <f aca="false">SUM(K150:Z150)</f>
        <v>4541</v>
      </c>
      <c r="AB150" s="35" t="n">
        <f aca="false">SUM(AA150/H150)</f>
        <v>4541</v>
      </c>
      <c r="AC150" s="36" t="n">
        <f aca="false">AB150/$AB$2</f>
        <v>302.733333333333</v>
      </c>
    </row>
    <row r="151" customFormat="false" ht="19.5" hidden="false" customHeight="true" outlineLevel="0" collapsed="false">
      <c r="A151" s="53" t="s">
        <v>105</v>
      </c>
      <c r="B151" s="45" t="s">
        <v>78</v>
      </c>
      <c r="C151" s="25" t="n">
        <v>908</v>
      </c>
      <c r="D151" s="26" t="s">
        <v>144</v>
      </c>
      <c r="E151" s="27" t="s">
        <v>166</v>
      </c>
      <c r="F151" s="28" t="s">
        <v>20</v>
      </c>
      <c r="G151" s="29" t="n">
        <v>1</v>
      </c>
      <c r="H151" s="30" t="n">
        <v>0.3</v>
      </c>
      <c r="I151" s="31" t="s">
        <v>22</v>
      </c>
      <c r="J151" s="70" t="n">
        <v>45876</v>
      </c>
      <c r="K151" s="33"/>
      <c r="L151" s="33"/>
      <c r="M151" s="33"/>
      <c r="N151" s="33" t="n">
        <v>990</v>
      </c>
      <c r="O151" s="33"/>
      <c r="P151" s="33"/>
      <c r="Q151" s="33"/>
      <c r="R151" s="33"/>
      <c r="S151" s="33" t="n">
        <v>1050</v>
      </c>
      <c r="T151" s="33"/>
      <c r="U151" s="33"/>
      <c r="V151" s="33"/>
      <c r="W151" s="33"/>
      <c r="X151" s="33"/>
      <c r="Y151" s="33"/>
      <c r="Z151" s="33"/>
      <c r="AA151" s="34" t="n">
        <f aca="false">SUM(K151:Z151)</f>
        <v>2040</v>
      </c>
      <c r="AB151" s="35" t="n">
        <f aca="false">SUM(AA151/H151)</f>
        <v>6800</v>
      </c>
      <c r="AC151" s="36" t="n">
        <f aca="false">AB151/$AB$2</f>
        <v>453.333333333333</v>
      </c>
    </row>
    <row r="152" customFormat="false" ht="19.5" hidden="false" customHeight="true" outlineLevel="0" collapsed="false">
      <c r="A152" s="46" t="s">
        <v>60</v>
      </c>
      <c r="B152" s="45" t="s">
        <v>17</v>
      </c>
      <c r="C152" s="25" t="n">
        <v>703</v>
      </c>
      <c r="D152" s="26" t="s">
        <v>149</v>
      </c>
      <c r="E152" s="27" t="s">
        <v>161</v>
      </c>
      <c r="F152" s="28" t="s">
        <v>87</v>
      </c>
      <c r="G152" s="29" t="s">
        <v>129</v>
      </c>
      <c r="H152" s="30" t="n">
        <v>2</v>
      </c>
      <c r="I152" s="31" t="s">
        <v>22</v>
      </c>
      <c r="J152" s="70" t="n">
        <v>45922</v>
      </c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4" t="n">
        <f aca="false">SUM(K152:Z152)</f>
        <v>0</v>
      </c>
      <c r="AB152" s="35" t="n">
        <f aca="false">SUM(AA152/H152)</f>
        <v>0</v>
      </c>
      <c r="AC152" s="36" t="n">
        <f aca="false">AB152/$AB$2</f>
        <v>0</v>
      </c>
    </row>
    <row r="153" customFormat="false" ht="19.5" hidden="false" customHeight="true" outlineLevel="0" collapsed="false">
      <c r="A153" s="44" t="s">
        <v>56</v>
      </c>
      <c r="B153" s="45" t="s">
        <v>57</v>
      </c>
      <c r="C153" s="25" t="n">
        <v>601</v>
      </c>
      <c r="D153" s="26" t="s">
        <v>117</v>
      </c>
      <c r="E153" s="27" t="s">
        <v>166</v>
      </c>
      <c r="F153" s="28" t="s">
        <v>20</v>
      </c>
      <c r="G153" s="29" t="n">
        <v>9</v>
      </c>
      <c r="H153" s="30" t="n">
        <v>1</v>
      </c>
      <c r="I153" s="31" t="s">
        <v>22</v>
      </c>
      <c r="J153" s="70" t="n">
        <v>45896</v>
      </c>
      <c r="K153" s="33"/>
      <c r="L153" s="33" t="n">
        <v>782</v>
      </c>
      <c r="M153" s="33"/>
      <c r="N153" s="33" t="n">
        <v>994</v>
      </c>
      <c r="O153" s="33"/>
      <c r="P153" s="33"/>
      <c r="Q153" s="33" t="n">
        <v>977</v>
      </c>
      <c r="R153" s="33"/>
      <c r="S153" s="33" t="n">
        <v>990</v>
      </c>
      <c r="T153" s="33"/>
      <c r="U153" s="33" t="n">
        <v>882</v>
      </c>
      <c r="V153" s="33"/>
      <c r="W153" s="33"/>
      <c r="X153" s="33" t="n">
        <v>931</v>
      </c>
      <c r="Y153" s="33"/>
      <c r="Z153" s="33"/>
      <c r="AA153" s="34" t="n">
        <f aca="false">SUM(K153:Z153)</f>
        <v>5556</v>
      </c>
      <c r="AB153" s="35" t="n">
        <f aca="false">SUM(AA153/H153)</f>
        <v>5556</v>
      </c>
      <c r="AC153" s="36" t="n">
        <f aca="false">AB153/$AB$2</f>
        <v>370.4</v>
      </c>
    </row>
    <row r="154" customFormat="false" ht="19.5" hidden="false" customHeight="true" outlineLevel="0" collapsed="false">
      <c r="A154" s="44" t="s">
        <v>56</v>
      </c>
      <c r="B154" s="45" t="s">
        <v>57</v>
      </c>
      <c r="C154" s="25" t="n">
        <v>601</v>
      </c>
      <c r="D154" s="26" t="s">
        <v>117</v>
      </c>
      <c r="E154" s="27" t="s">
        <v>167</v>
      </c>
      <c r="F154" s="28" t="s">
        <v>20</v>
      </c>
      <c r="G154" s="29" t="n">
        <v>8</v>
      </c>
      <c r="H154" s="30" t="n">
        <v>0.8</v>
      </c>
      <c r="I154" s="31" t="s">
        <v>22</v>
      </c>
      <c r="J154" s="70" t="n">
        <v>45892</v>
      </c>
      <c r="K154" s="33"/>
      <c r="L154" s="33" t="n">
        <v>808</v>
      </c>
      <c r="M154" s="33"/>
      <c r="N154" s="33" t="n">
        <v>636</v>
      </c>
      <c r="O154" s="33"/>
      <c r="P154" s="33"/>
      <c r="Q154" s="33" t="n">
        <v>1252</v>
      </c>
      <c r="R154" s="33"/>
      <c r="S154" s="33" t="n">
        <v>1050</v>
      </c>
      <c r="T154" s="33"/>
      <c r="U154" s="33" t="n">
        <v>788</v>
      </c>
      <c r="V154" s="33"/>
      <c r="W154" s="33"/>
      <c r="X154" s="33" t="n">
        <v>931</v>
      </c>
      <c r="Y154" s="33"/>
      <c r="Z154" s="33"/>
      <c r="AA154" s="34" t="n">
        <f aca="false">SUM(K154:Z154)</f>
        <v>5465</v>
      </c>
      <c r="AB154" s="35" t="n">
        <f aca="false">SUM(AA154/H154)</f>
        <v>6831.25</v>
      </c>
      <c r="AC154" s="36" t="n">
        <f aca="false">AB154/$AB$2</f>
        <v>455.416666666667</v>
      </c>
    </row>
    <row r="155" customFormat="false" ht="19.5" hidden="false" customHeight="true" outlineLevel="0" collapsed="false">
      <c r="A155" s="47" t="s">
        <v>65</v>
      </c>
      <c r="B155" s="45" t="s">
        <v>66</v>
      </c>
      <c r="C155" s="25" t="n">
        <v>903</v>
      </c>
      <c r="D155" s="26" t="s">
        <v>67</v>
      </c>
      <c r="E155" s="27" t="s">
        <v>168</v>
      </c>
      <c r="F155" s="28" t="s">
        <v>169</v>
      </c>
      <c r="G155" s="29" t="s">
        <v>28</v>
      </c>
      <c r="H155" s="30" t="n">
        <v>2</v>
      </c>
      <c r="I155" s="31" t="s">
        <v>22</v>
      </c>
      <c r="J155" s="70" t="n">
        <v>45925</v>
      </c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4" t="n">
        <f aca="false">SUM(K155:Z155)</f>
        <v>0</v>
      </c>
      <c r="AB155" s="35" t="n">
        <f aca="false">SUM(AA155/H155)</f>
        <v>0</v>
      </c>
      <c r="AC155" s="36" t="n">
        <f aca="false">AB155/$AB$2</f>
        <v>0</v>
      </c>
    </row>
    <row r="156" customFormat="false" ht="19.5" hidden="false" customHeight="true" outlineLevel="0" collapsed="false">
      <c r="A156" s="47" t="s">
        <v>65</v>
      </c>
      <c r="B156" s="45" t="s">
        <v>66</v>
      </c>
      <c r="C156" s="25" t="n">
        <v>906</v>
      </c>
      <c r="D156" s="26" t="s">
        <v>158</v>
      </c>
      <c r="E156" s="27" t="s">
        <v>32</v>
      </c>
      <c r="F156" s="28" t="s">
        <v>33</v>
      </c>
      <c r="G156" s="29" t="s">
        <v>62</v>
      </c>
      <c r="H156" s="30" t="n">
        <v>2.46</v>
      </c>
      <c r="I156" s="69" t="s">
        <v>22</v>
      </c>
      <c r="J156" s="32" t="n">
        <v>45900</v>
      </c>
      <c r="K156" s="33"/>
      <c r="L156" s="33"/>
      <c r="M156" s="33" t="n">
        <v>7774</v>
      </c>
      <c r="N156" s="33"/>
      <c r="O156" s="33"/>
      <c r="P156" s="33"/>
      <c r="Q156" s="33"/>
      <c r="R156" s="33"/>
      <c r="S156" s="33"/>
      <c r="T156" s="33" t="n">
        <v>10858</v>
      </c>
      <c r="U156" s="33"/>
      <c r="V156" s="33"/>
      <c r="W156" s="33"/>
      <c r="X156" s="33"/>
      <c r="Y156" s="33" t="n">
        <v>9425</v>
      </c>
      <c r="Z156" s="33"/>
      <c r="AA156" s="34" t="n">
        <f aca="false">SUM(K156:Z156)</f>
        <v>28057</v>
      </c>
      <c r="AB156" s="35" t="n">
        <f aca="false">SUM(AA156/H156)</f>
        <v>11405.2845528455</v>
      </c>
      <c r="AC156" s="36" t="n">
        <f aca="false">AB156/$AB$2</f>
        <v>760.352303523035</v>
      </c>
    </row>
    <row r="157" customFormat="false" ht="19.5" hidden="false" customHeight="true" outlineLevel="0" collapsed="false">
      <c r="A157" s="39" t="s">
        <v>29</v>
      </c>
      <c r="B157" s="45" t="s">
        <v>30</v>
      </c>
      <c r="C157" s="25" t="n">
        <v>501</v>
      </c>
      <c r="D157" s="26" t="s">
        <v>116</v>
      </c>
      <c r="E157" s="27" t="s">
        <v>32</v>
      </c>
      <c r="F157" s="28" t="s">
        <v>33</v>
      </c>
      <c r="G157" s="29" t="s">
        <v>28</v>
      </c>
      <c r="H157" s="30" t="n">
        <v>1.76</v>
      </c>
      <c r="I157" s="31" t="s">
        <v>22</v>
      </c>
      <c r="J157" s="32" t="n">
        <v>45860</v>
      </c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4" t="n">
        <f aca="false">SUM(K157:Z157)</f>
        <v>0</v>
      </c>
      <c r="AB157" s="35" t="n">
        <f aca="false">SUM(AA157/H157)</f>
        <v>0</v>
      </c>
      <c r="AC157" s="36" t="n">
        <f aca="false">AB157/$AB$2</f>
        <v>0</v>
      </c>
    </row>
    <row r="158" customFormat="false" ht="19.5" hidden="false" customHeight="true" outlineLevel="0" collapsed="false">
      <c r="A158" s="24" t="s">
        <v>41</v>
      </c>
      <c r="B158" s="45" t="s">
        <v>42</v>
      </c>
      <c r="C158" s="25" t="n">
        <v>100</v>
      </c>
      <c r="D158" s="26" t="s">
        <v>43</v>
      </c>
      <c r="E158" s="27" t="s">
        <v>19</v>
      </c>
      <c r="F158" s="28" t="s">
        <v>20</v>
      </c>
      <c r="G158" s="29" t="s">
        <v>170</v>
      </c>
      <c r="H158" s="30" t="n">
        <v>3.15</v>
      </c>
      <c r="I158" s="31" t="s">
        <v>22</v>
      </c>
      <c r="J158" s="32" t="n">
        <v>45923</v>
      </c>
      <c r="K158" s="33"/>
      <c r="L158" s="33" t="n">
        <v>8518</v>
      </c>
      <c r="M158" s="33"/>
      <c r="N158" s="33"/>
      <c r="O158" s="33"/>
      <c r="P158" s="33" t="n">
        <v>3800</v>
      </c>
      <c r="Q158" s="33" t="n">
        <v>6216</v>
      </c>
      <c r="R158" s="33"/>
      <c r="S158" s="33"/>
      <c r="T158" s="33"/>
      <c r="U158" s="33" t="n">
        <v>5295</v>
      </c>
      <c r="V158" s="33" t="n">
        <v>1773</v>
      </c>
      <c r="W158" s="33"/>
      <c r="X158" s="33"/>
      <c r="Y158" s="33" t="n">
        <v>1409</v>
      </c>
      <c r="Z158" s="33"/>
      <c r="AA158" s="34" t="n">
        <f aca="false">SUM(K158:Z158)</f>
        <v>27011</v>
      </c>
      <c r="AB158" s="35" t="n">
        <f aca="false">SUM(AA158/H158)</f>
        <v>8574.92063492063</v>
      </c>
      <c r="AC158" s="36" t="n">
        <f aca="false">AB158/$AB$2</f>
        <v>571.661375661376</v>
      </c>
    </row>
    <row r="159" customFormat="false" ht="19.5" hidden="false" customHeight="true" outlineLevel="0" collapsed="false">
      <c r="A159" s="46" t="s">
        <v>60</v>
      </c>
      <c r="B159" s="45" t="s">
        <v>17</v>
      </c>
      <c r="C159" s="25" t="n">
        <v>604</v>
      </c>
      <c r="D159" s="26" t="s">
        <v>163</v>
      </c>
      <c r="E159" s="27" t="s">
        <v>164</v>
      </c>
      <c r="F159" s="28" t="s">
        <v>87</v>
      </c>
      <c r="G159" s="29" t="n">
        <v>15</v>
      </c>
      <c r="H159" s="30" t="n">
        <v>1</v>
      </c>
      <c r="I159" s="31" t="s">
        <v>22</v>
      </c>
      <c r="J159" s="32" t="n">
        <v>45912</v>
      </c>
      <c r="K159" s="33"/>
      <c r="L159" s="33" t="n">
        <v>4260</v>
      </c>
      <c r="M159" s="33" t="n">
        <v>2797</v>
      </c>
      <c r="N159" s="33"/>
      <c r="O159" s="33"/>
      <c r="P159" s="33"/>
      <c r="Q159" s="33"/>
      <c r="R159" s="33"/>
      <c r="S159" s="33" t="n">
        <v>1231</v>
      </c>
      <c r="T159" s="33" t="n">
        <v>7224</v>
      </c>
      <c r="U159" s="33" t="n">
        <v>2100</v>
      </c>
      <c r="V159" s="33"/>
      <c r="W159" s="33"/>
      <c r="X159" s="33"/>
      <c r="Y159" s="33"/>
      <c r="Z159" s="33"/>
      <c r="AA159" s="34" t="n">
        <f aca="false">SUM(K159:Z159)</f>
        <v>17612</v>
      </c>
      <c r="AB159" s="35" t="n">
        <f aca="false">SUM(AA159/H159)</f>
        <v>17612</v>
      </c>
      <c r="AC159" s="36" t="n">
        <f aca="false">AB159/$AB$2</f>
        <v>1174.13333333333</v>
      </c>
    </row>
    <row r="160" customFormat="false" ht="19.5" hidden="false" customHeight="true" outlineLevel="0" collapsed="false">
      <c r="A160" s="50" t="s">
        <v>83</v>
      </c>
      <c r="B160" s="45" t="s">
        <v>84</v>
      </c>
      <c r="C160" s="25" t="n">
        <v>204</v>
      </c>
      <c r="D160" s="26" t="s">
        <v>85</v>
      </c>
      <c r="E160" s="27" t="s">
        <v>131</v>
      </c>
      <c r="F160" s="28" t="s">
        <v>20</v>
      </c>
      <c r="G160" s="29" t="s">
        <v>134</v>
      </c>
      <c r="H160" s="30" t="n">
        <v>2.29</v>
      </c>
      <c r="I160" s="41" t="s">
        <v>34</v>
      </c>
      <c r="J160" s="32" t="n">
        <v>45770</v>
      </c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4" t="n">
        <f aca="false">SUM(K160:Z160)</f>
        <v>0</v>
      </c>
      <c r="AB160" s="35" t="n">
        <f aca="false">SUM(AA160/H160)</f>
        <v>0</v>
      </c>
      <c r="AC160" s="36" t="n">
        <f aca="false">AB160/$AB$2</f>
        <v>0</v>
      </c>
    </row>
    <row r="161" customFormat="false" ht="19.5" hidden="false" customHeight="true" outlineLevel="0" collapsed="false">
      <c r="A161" s="44" t="s">
        <v>56</v>
      </c>
      <c r="B161" s="45" t="s">
        <v>57</v>
      </c>
      <c r="C161" s="25" t="n">
        <v>601</v>
      </c>
      <c r="D161" s="26" t="s">
        <v>117</v>
      </c>
      <c r="E161" s="27" t="s">
        <v>74</v>
      </c>
      <c r="F161" s="28" t="s">
        <v>20</v>
      </c>
      <c r="G161" s="29" t="s">
        <v>129</v>
      </c>
      <c r="H161" s="30" t="n">
        <v>2</v>
      </c>
      <c r="I161" s="31" t="s">
        <v>22</v>
      </c>
      <c r="J161" s="32" t="n">
        <v>45854</v>
      </c>
      <c r="K161" s="33"/>
      <c r="L161" s="33"/>
      <c r="M161" s="33" t="n">
        <v>2395</v>
      </c>
      <c r="N161" s="33"/>
      <c r="O161" s="33"/>
      <c r="P161" s="33" t="n">
        <v>3310</v>
      </c>
      <c r="Q161" s="33"/>
      <c r="R161" s="33"/>
      <c r="S161" s="33" t="n">
        <v>2636</v>
      </c>
      <c r="T161" s="33"/>
      <c r="U161" s="33"/>
      <c r="V161" s="33"/>
      <c r="W161" s="33" t="n">
        <v>2776</v>
      </c>
      <c r="X161" s="33"/>
      <c r="Y161" s="33"/>
      <c r="Z161" s="33"/>
      <c r="AA161" s="34" t="n">
        <f aca="false">SUM(K161:Z161)</f>
        <v>11117</v>
      </c>
      <c r="AB161" s="35" t="n">
        <f aca="false">SUM(AA161/H161)</f>
        <v>5558.5</v>
      </c>
      <c r="AC161" s="36" t="n">
        <f aca="false">AB161/$AB$2</f>
        <v>370.566666666667</v>
      </c>
    </row>
    <row r="162" customFormat="false" ht="19.5" hidden="false" customHeight="true" outlineLevel="0" collapsed="false">
      <c r="A162" s="65" t="s">
        <v>132</v>
      </c>
      <c r="B162" s="45" t="s">
        <v>17</v>
      </c>
      <c r="C162" s="25" t="n">
        <v>801</v>
      </c>
      <c r="D162" s="26" t="s">
        <v>133</v>
      </c>
      <c r="E162" s="27" t="s">
        <v>19</v>
      </c>
      <c r="F162" s="28" t="s">
        <v>20</v>
      </c>
      <c r="G162" s="29" t="n">
        <v>6</v>
      </c>
      <c r="H162" s="30" t="n">
        <v>0.93</v>
      </c>
      <c r="I162" s="31" t="s">
        <v>22</v>
      </c>
      <c r="J162" s="32" t="n">
        <v>45912</v>
      </c>
      <c r="K162" s="33"/>
      <c r="L162" s="33" t="n">
        <v>1705</v>
      </c>
      <c r="M162" s="33"/>
      <c r="N162" s="33"/>
      <c r="O162" s="33"/>
      <c r="P162" s="33"/>
      <c r="Q162" s="33" t="n">
        <v>2134</v>
      </c>
      <c r="R162" s="33"/>
      <c r="S162" s="33"/>
      <c r="T162" s="33" t="n">
        <v>364</v>
      </c>
      <c r="U162" s="33"/>
      <c r="V162" s="33" t="n">
        <v>1710</v>
      </c>
      <c r="W162" s="33"/>
      <c r="X162" s="33"/>
      <c r="Y162" s="33"/>
      <c r="Z162" s="33"/>
      <c r="AA162" s="34" t="n">
        <f aca="false">SUM(K162:Z162)</f>
        <v>5913</v>
      </c>
      <c r="AB162" s="35" t="n">
        <f aca="false">SUM(AA162/H162)</f>
        <v>6358.06451612903</v>
      </c>
      <c r="AC162" s="36" t="n">
        <f aca="false">AB162/$AB$2</f>
        <v>423.870967741936</v>
      </c>
    </row>
    <row r="163" customFormat="false" ht="19.5" hidden="false" customHeight="true" outlineLevel="0" collapsed="false">
      <c r="A163" s="46" t="s">
        <v>60</v>
      </c>
      <c r="B163" s="45" t="s">
        <v>17</v>
      </c>
      <c r="C163" s="25" t="n">
        <v>703</v>
      </c>
      <c r="D163" s="26" t="s">
        <v>149</v>
      </c>
      <c r="E163" s="27" t="s">
        <v>23</v>
      </c>
      <c r="F163" s="28" t="s">
        <v>20</v>
      </c>
      <c r="G163" s="29" t="n">
        <v>1</v>
      </c>
      <c r="H163" s="30" t="n">
        <v>1</v>
      </c>
      <c r="I163" s="31" t="s">
        <v>22</v>
      </c>
      <c r="J163" s="32" t="n">
        <v>45901</v>
      </c>
      <c r="K163" s="33"/>
      <c r="L163" s="33" t="n">
        <v>2775</v>
      </c>
      <c r="M163" s="33"/>
      <c r="N163" s="33"/>
      <c r="O163" s="33"/>
      <c r="P163" s="33" t="n">
        <v>1842</v>
      </c>
      <c r="Q163" s="33"/>
      <c r="R163" s="33"/>
      <c r="S163" s="33"/>
      <c r="T163" s="33" t="n">
        <v>2361</v>
      </c>
      <c r="U163" s="33"/>
      <c r="V163" s="33"/>
      <c r="W163" s="33"/>
      <c r="X163" s="33"/>
      <c r="Y163" s="33" t="n">
        <v>1548</v>
      </c>
      <c r="Z163" s="33"/>
      <c r="AA163" s="34" t="n">
        <f aca="false">SUM(K163:Z163)</f>
        <v>8526</v>
      </c>
      <c r="AB163" s="35" t="n">
        <f aca="false">SUM(AA163/H163)</f>
        <v>8526</v>
      </c>
      <c r="AC163" s="36" t="n">
        <f aca="false">AB163/$AB$2</f>
        <v>568.4</v>
      </c>
    </row>
    <row r="164" customFormat="false" ht="19.5" hidden="false" customHeight="true" outlineLevel="0" collapsed="false">
      <c r="A164" s="42" t="s">
        <v>45</v>
      </c>
      <c r="B164" s="45" t="s">
        <v>30</v>
      </c>
      <c r="C164" s="25" t="n">
        <v>303</v>
      </c>
      <c r="D164" s="26" t="s">
        <v>46</v>
      </c>
      <c r="E164" s="27" t="s">
        <v>32</v>
      </c>
      <c r="F164" s="28" t="s">
        <v>33</v>
      </c>
      <c r="G164" s="29" t="n">
        <v>1</v>
      </c>
      <c r="H164" s="30" t="n">
        <v>0.75</v>
      </c>
      <c r="I164" s="41" t="s">
        <v>34</v>
      </c>
      <c r="J164" s="32" t="n">
        <v>45838</v>
      </c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4" t="n">
        <f aca="false">SUM(K164:Z164)</f>
        <v>0</v>
      </c>
      <c r="AB164" s="35" t="n">
        <f aca="false">SUM(AA164/H164)</f>
        <v>0</v>
      </c>
      <c r="AC164" s="36" t="n">
        <f aca="false">AB164/$AB$2</f>
        <v>0</v>
      </c>
    </row>
    <row r="165" customFormat="false" ht="19.5" hidden="false" customHeight="true" outlineLevel="0" collapsed="false">
      <c r="A165" s="43" t="s">
        <v>50</v>
      </c>
      <c r="B165" s="45" t="s">
        <v>26</v>
      </c>
      <c r="C165" s="25" t="n">
        <v>401</v>
      </c>
      <c r="D165" s="26" t="s">
        <v>51</v>
      </c>
      <c r="E165" s="27" t="s">
        <v>47</v>
      </c>
      <c r="F165" s="28" t="s">
        <v>48</v>
      </c>
      <c r="G165" s="29" t="n">
        <v>9</v>
      </c>
      <c r="H165" s="30" t="n">
        <v>1.1</v>
      </c>
      <c r="I165" s="31" t="s">
        <v>22</v>
      </c>
      <c r="J165" s="32" t="n">
        <v>45881</v>
      </c>
      <c r="K165" s="33" t="n">
        <v>2908</v>
      </c>
      <c r="L165" s="33"/>
      <c r="M165" s="33"/>
      <c r="N165" s="33"/>
      <c r="O165" s="33" t="n">
        <v>3252</v>
      </c>
      <c r="P165" s="33"/>
      <c r="Q165" s="33"/>
      <c r="R165" s="33"/>
      <c r="S165" s="33" t="n">
        <v>4068</v>
      </c>
      <c r="T165" s="33"/>
      <c r="U165" s="33"/>
      <c r="V165" s="33"/>
      <c r="W165" s="33" t="n">
        <v>3236</v>
      </c>
      <c r="X165" s="33"/>
      <c r="Y165" s="33"/>
      <c r="Z165" s="33"/>
      <c r="AA165" s="34" t="n">
        <f aca="false">SUM(K165:Z165)</f>
        <v>13464</v>
      </c>
      <c r="AB165" s="35" t="n">
        <f aca="false">SUM(AA165/H165)</f>
        <v>12240</v>
      </c>
      <c r="AC165" s="36" t="n">
        <f aca="false">AB165/$AB$2</f>
        <v>816</v>
      </c>
    </row>
    <row r="166" customFormat="false" ht="19.5" hidden="false" customHeight="true" outlineLevel="0" collapsed="false">
      <c r="A166" s="65" t="s">
        <v>132</v>
      </c>
      <c r="B166" s="45" t="s">
        <v>17</v>
      </c>
      <c r="C166" s="25" t="n">
        <v>801</v>
      </c>
      <c r="D166" s="26" t="s">
        <v>133</v>
      </c>
      <c r="E166" s="27" t="s">
        <v>23</v>
      </c>
      <c r="F166" s="28" t="s">
        <v>20</v>
      </c>
      <c r="G166" s="29" t="n">
        <v>1</v>
      </c>
      <c r="H166" s="30" t="n">
        <v>0.93</v>
      </c>
      <c r="I166" s="31" t="s">
        <v>22</v>
      </c>
      <c r="J166" s="32" t="n">
        <v>45924</v>
      </c>
      <c r="K166" s="33"/>
      <c r="L166" s="33" t="n">
        <v>604</v>
      </c>
      <c r="M166" s="33"/>
      <c r="N166" s="33"/>
      <c r="O166" s="33"/>
      <c r="P166" s="33"/>
      <c r="Q166" s="33" t="n">
        <v>930</v>
      </c>
      <c r="R166" s="33"/>
      <c r="S166" s="33"/>
      <c r="T166" s="33"/>
      <c r="U166" s="33"/>
      <c r="V166" s="33" t="n">
        <v>89</v>
      </c>
      <c r="W166" s="33" t="n">
        <v>1864</v>
      </c>
      <c r="X166" s="33"/>
      <c r="Y166" s="33"/>
      <c r="Z166" s="33"/>
      <c r="AA166" s="34" t="n">
        <f aca="false">SUM(K166:Z166)</f>
        <v>3487</v>
      </c>
      <c r="AB166" s="35" t="n">
        <f aca="false">SUM(AA166/H166)</f>
        <v>3749.4623655914</v>
      </c>
      <c r="AC166" s="36" t="n">
        <f aca="false">AB166/$AB$2</f>
        <v>249.964157706093</v>
      </c>
    </row>
    <row r="167" customFormat="false" ht="19.5" hidden="false" customHeight="true" outlineLevel="0" collapsed="false">
      <c r="A167" s="65" t="s">
        <v>132</v>
      </c>
      <c r="B167" s="45" t="s">
        <v>17</v>
      </c>
      <c r="C167" s="25" t="n">
        <v>801</v>
      </c>
      <c r="D167" s="26" t="s">
        <v>133</v>
      </c>
      <c r="E167" s="27" t="s">
        <v>171</v>
      </c>
      <c r="F167" s="28" t="s">
        <v>48</v>
      </c>
      <c r="G167" s="29" t="s">
        <v>172</v>
      </c>
      <c r="H167" s="30" t="n">
        <v>1.86</v>
      </c>
      <c r="I167" s="31" t="s">
        <v>22</v>
      </c>
      <c r="J167" s="32" t="n">
        <v>45891</v>
      </c>
      <c r="K167" s="33"/>
      <c r="L167" s="33" t="n">
        <v>1107</v>
      </c>
      <c r="M167" s="33" t="n">
        <v>2142</v>
      </c>
      <c r="N167" s="33"/>
      <c r="O167" s="33" t="n">
        <v>792</v>
      </c>
      <c r="P167" s="33"/>
      <c r="Q167" s="33" t="n">
        <v>1174</v>
      </c>
      <c r="R167" s="33"/>
      <c r="S167" s="33"/>
      <c r="T167" s="33" t="n">
        <v>1516</v>
      </c>
      <c r="U167" s="33"/>
      <c r="V167" s="33" t="n">
        <v>1278</v>
      </c>
      <c r="W167" s="33" t="n">
        <v>1603</v>
      </c>
      <c r="X167" s="33"/>
      <c r="Y167" s="33"/>
      <c r="Z167" s="33"/>
      <c r="AA167" s="34" t="n">
        <f aca="false">SUM(K167:Z167)</f>
        <v>9612</v>
      </c>
      <c r="AB167" s="35" t="n">
        <f aca="false">SUM(AA167/H167)</f>
        <v>5167.74193548387</v>
      </c>
      <c r="AC167" s="36" t="n">
        <f aca="false">AB167/$AB$2</f>
        <v>344.516129032258</v>
      </c>
    </row>
    <row r="168" customFormat="false" ht="19.5" hidden="false" customHeight="true" outlineLevel="0" collapsed="false">
      <c r="A168" s="46" t="s">
        <v>60</v>
      </c>
      <c r="B168" s="45" t="s">
        <v>17</v>
      </c>
      <c r="C168" s="25" t="n">
        <v>604</v>
      </c>
      <c r="D168" s="26" t="s">
        <v>163</v>
      </c>
      <c r="E168" s="27" t="s">
        <v>173</v>
      </c>
      <c r="F168" s="28" t="s">
        <v>87</v>
      </c>
      <c r="G168" s="29" t="s">
        <v>174</v>
      </c>
      <c r="H168" s="30" t="n">
        <v>1.8</v>
      </c>
      <c r="I168" s="31" t="s">
        <v>22</v>
      </c>
      <c r="J168" s="32" t="n">
        <v>45922</v>
      </c>
      <c r="K168" s="33"/>
      <c r="L168" s="33"/>
      <c r="M168" s="33"/>
      <c r="N168" s="33"/>
      <c r="O168" s="33"/>
      <c r="P168" s="33" t="n">
        <v>7359</v>
      </c>
      <c r="Q168" s="33" t="n">
        <v>1247</v>
      </c>
      <c r="R168" s="33"/>
      <c r="S168" s="33"/>
      <c r="T168" s="33"/>
      <c r="U168" s="33"/>
      <c r="V168" s="33"/>
      <c r="W168" s="33"/>
      <c r="X168" s="33"/>
      <c r="Y168" s="33" t="n">
        <v>6627</v>
      </c>
      <c r="Z168" s="33"/>
      <c r="AA168" s="34" t="n">
        <f aca="false">SUM(K168:Z168)</f>
        <v>15233</v>
      </c>
      <c r="AB168" s="35" t="n">
        <f aca="false">SUM(AA168/H168)</f>
        <v>8462.77777777778</v>
      </c>
      <c r="AC168" s="36" t="n">
        <f aca="false">AB168/$AB$2</f>
        <v>564.185185185185</v>
      </c>
    </row>
    <row r="169" customFormat="false" ht="19.5" hidden="false" customHeight="true" outlineLevel="0" collapsed="false">
      <c r="A169" s="39" t="s">
        <v>29</v>
      </c>
      <c r="B169" s="45" t="s">
        <v>30</v>
      </c>
      <c r="C169" s="25" t="n">
        <v>502</v>
      </c>
      <c r="D169" s="26" t="s">
        <v>31</v>
      </c>
      <c r="E169" s="27" t="s">
        <v>35</v>
      </c>
      <c r="F169" s="28" t="s">
        <v>20</v>
      </c>
      <c r="G169" s="29" t="s">
        <v>175</v>
      </c>
      <c r="H169" s="30" t="n">
        <v>1.82</v>
      </c>
      <c r="I169" s="41" t="s">
        <v>39</v>
      </c>
      <c r="J169" s="32" t="n">
        <v>46058</v>
      </c>
      <c r="K169" s="33"/>
      <c r="L169" s="33" t="n">
        <v>1334</v>
      </c>
      <c r="M169" s="33"/>
      <c r="N169" s="33" t="n">
        <v>2054</v>
      </c>
      <c r="O169" s="33"/>
      <c r="P169" s="33" t="n">
        <v>1887</v>
      </c>
      <c r="Q169" s="33"/>
      <c r="R169" s="33" t="n">
        <v>3761</v>
      </c>
      <c r="S169" s="33" t="n">
        <v>2140</v>
      </c>
      <c r="T169" s="33" t="n">
        <v>924</v>
      </c>
      <c r="U169" s="33" t="n">
        <v>1875</v>
      </c>
      <c r="V169" s="33" t="n">
        <v>1404</v>
      </c>
      <c r="W169" s="33"/>
      <c r="X169" s="33" t="n">
        <v>2237</v>
      </c>
      <c r="Y169" s="33" t="n">
        <v>2546</v>
      </c>
      <c r="Z169" s="33"/>
      <c r="AA169" s="34" t="n">
        <f aca="false">SUM(K169:Z169)</f>
        <v>20162</v>
      </c>
      <c r="AB169" s="35" t="n">
        <f aca="false">SUM(AA169/H169)</f>
        <v>11078.021978022</v>
      </c>
      <c r="AC169" s="36" t="n">
        <f aca="false">AB169/$AB$2</f>
        <v>738.534798534799</v>
      </c>
    </row>
    <row r="170" customFormat="false" ht="19.5" hidden="false" customHeight="true" outlineLevel="0" collapsed="false">
      <c r="A170" s="24" t="s">
        <v>41</v>
      </c>
      <c r="B170" s="45" t="s">
        <v>42</v>
      </c>
      <c r="C170" s="25" t="n">
        <v>101</v>
      </c>
      <c r="D170" s="26" t="s">
        <v>53</v>
      </c>
      <c r="E170" s="27" t="s">
        <v>47</v>
      </c>
      <c r="F170" s="28" t="s">
        <v>48</v>
      </c>
      <c r="G170" s="29" t="s">
        <v>139</v>
      </c>
      <c r="H170" s="30" t="n">
        <v>2.8</v>
      </c>
      <c r="I170" s="31" t="s">
        <v>22</v>
      </c>
      <c r="J170" s="32" t="n">
        <v>45878</v>
      </c>
      <c r="K170" s="33"/>
      <c r="L170" s="33"/>
      <c r="M170" s="33"/>
      <c r="N170" s="33"/>
      <c r="O170" s="33" t="n">
        <v>6442</v>
      </c>
      <c r="P170" s="33"/>
      <c r="Q170" s="33"/>
      <c r="R170" s="33" t="n">
        <v>3892</v>
      </c>
      <c r="S170" s="33" t="n">
        <v>2981</v>
      </c>
      <c r="T170" s="33" t="n">
        <v>428</v>
      </c>
      <c r="U170" s="33"/>
      <c r="V170" s="33"/>
      <c r="W170" s="33"/>
      <c r="X170" s="33"/>
      <c r="Y170" s="33" t="n">
        <v>6435</v>
      </c>
      <c r="Z170" s="33"/>
      <c r="AA170" s="34" t="n">
        <f aca="false">SUM(K170:Z170)</f>
        <v>20178</v>
      </c>
      <c r="AB170" s="35" t="n">
        <f aca="false">SUM(AA170/H170)</f>
        <v>7206.42857142857</v>
      </c>
      <c r="AC170" s="36" t="n">
        <f aca="false">AB170/$AB$2</f>
        <v>480.428571428571</v>
      </c>
    </row>
    <row r="171" customFormat="false" ht="19.5" hidden="false" customHeight="true" outlineLevel="0" collapsed="false">
      <c r="A171" s="50" t="s">
        <v>83</v>
      </c>
      <c r="B171" s="45" t="s">
        <v>84</v>
      </c>
      <c r="C171" s="25" t="n">
        <v>201</v>
      </c>
      <c r="D171" s="26" t="s">
        <v>123</v>
      </c>
      <c r="E171" s="27" t="s">
        <v>19</v>
      </c>
      <c r="F171" s="28" t="s">
        <v>20</v>
      </c>
      <c r="G171" s="29" t="s">
        <v>176</v>
      </c>
      <c r="H171" s="30" t="n">
        <v>3.24</v>
      </c>
      <c r="I171" s="31" t="s">
        <v>22</v>
      </c>
      <c r="J171" s="32" t="n">
        <v>45922</v>
      </c>
      <c r="K171" s="33" t="n">
        <v>1408</v>
      </c>
      <c r="L171" s="33"/>
      <c r="M171" s="33" t="n">
        <v>2474</v>
      </c>
      <c r="N171" s="33" t="n">
        <v>362</v>
      </c>
      <c r="O171" s="33" t="n">
        <v>3136</v>
      </c>
      <c r="P171" s="33"/>
      <c r="Q171" s="33" t="n">
        <v>2747</v>
      </c>
      <c r="R171" s="33" t="n">
        <v>6502</v>
      </c>
      <c r="S171" s="33"/>
      <c r="T171" s="33" t="n">
        <v>3330</v>
      </c>
      <c r="U171" s="33" t="n">
        <v>6915</v>
      </c>
      <c r="V171" s="33" t="n">
        <v>3668</v>
      </c>
      <c r="W171" s="33"/>
      <c r="X171" s="33"/>
      <c r="Y171" s="33" t="n">
        <v>7654</v>
      </c>
      <c r="Z171" s="33"/>
      <c r="AA171" s="34" t="n">
        <f aca="false">SUM(K171:Z171)</f>
        <v>38196</v>
      </c>
      <c r="AB171" s="35" t="n">
        <f aca="false">SUM(AA171/H171)</f>
        <v>11788.8888888889</v>
      </c>
      <c r="AC171" s="36" t="n">
        <f aca="false">AB171/$AB$2</f>
        <v>785.925925925926</v>
      </c>
    </row>
    <row r="172" customFormat="false" ht="19.5" hidden="false" customHeight="true" outlineLevel="0" collapsed="false">
      <c r="A172" s="50" t="s">
        <v>83</v>
      </c>
      <c r="B172" s="45" t="s">
        <v>84</v>
      </c>
      <c r="C172" s="25" t="n">
        <v>205</v>
      </c>
      <c r="D172" s="26" t="s">
        <v>127</v>
      </c>
      <c r="E172" s="27" t="s">
        <v>32</v>
      </c>
      <c r="F172" s="28" t="s">
        <v>33</v>
      </c>
      <c r="G172" s="29" t="s">
        <v>100</v>
      </c>
      <c r="H172" s="30" t="n">
        <v>2</v>
      </c>
      <c r="I172" s="31" t="s">
        <v>22</v>
      </c>
      <c r="J172" s="32" t="n">
        <v>45892</v>
      </c>
      <c r="K172" s="33" t="n">
        <v>1948</v>
      </c>
      <c r="L172" s="33"/>
      <c r="M172" s="33"/>
      <c r="N172" s="33" t="n">
        <v>2044</v>
      </c>
      <c r="O172" s="33"/>
      <c r="P172" s="33"/>
      <c r="Q172" s="33"/>
      <c r="R172" s="33"/>
      <c r="S172" s="33"/>
      <c r="T172" s="33" t="n">
        <v>9088</v>
      </c>
      <c r="U172" s="33"/>
      <c r="V172" s="33"/>
      <c r="W172" s="33" t="n">
        <v>1176</v>
      </c>
      <c r="X172" s="33" t="n">
        <v>3472</v>
      </c>
      <c r="Y172" s="33"/>
      <c r="Z172" s="33"/>
      <c r="AA172" s="34" t="n">
        <f aca="false">SUM(K172:Z172)</f>
        <v>17728</v>
      </c>
      <c r="AB172" s="35" t="n">
        <f aca="false">SUM(AA172/H172)</f>
        <v>8864</v>
      </c>
      <c r="AC172" s="36" t="n">
        <f aca="false">AB172/$AB$2</f>
        <v>590.933333333333</v>
      </c>
    </row>
    <row r="173" customFormat="false" ht="19.5" hidden="false" customHeight="true" outlineLevel="0" collapsed="false">
      <c r="A173" s="51" t="s">
        <v>96</v>
      </c>
      <c r="B173" s="45" t="s">
        <v>66</v>
      </c>
      <c r="C173" s="25" t="n">
        <v>901</v>
      </c>
      <c r="D173" s="26" t="s">
        <v>97</v>
      </c>
      <c r="E173" s="27" t="s">
        <v>164</v>
      </c>
      <c r="F173" s="28" t="s">
        <v>87</v>
      </c>
      <c r="G173" s="29" t="s">
        <v>89</v>
      </c>
      <c r="H173" s="30" t="n">
        <v>2</v>
      </c>
      <c r="I173" s="31" t="s">
        <v>22</v>
      </c>
      <c r="J173" s="32" t="n">
        <v>45895</v>
      </c>
      <c r="K173" s="33"/>
      <c r="L173" s="33"/>
      <c r="M173" s="33" t="n">
        <v>5835</v>
      </c>
      <c r="N173" s="33" t="n">
        <v>1780</v>
      </c>
      <c r="O173" s="33"/>
      <c r="P173" s="33"/>
      <c r="Q173" s="33"/>
      <c r="R173" s="33"/>
      <c r="S173" s="33"/>
      <c r="T173" s="33"/>
      <c r="U173" s="33"/>
      <c r="V173" s="33"/>
      <c r="W173" s="33"/>
      <c r="X173" s="33" t="n">
        <v>4096</v>
      </c>
      <c r="Y173" s="33" t="n">
        <v>3271</v>
      </c>
      <c r="Z173" s="33"/>
      <c r="AA173" s="34" t="n">
        <f aca="false">SUM(K173:Z173)</f>
        <v>14982</v>
      </c>
      <c r="AB173" s="35" t="n">
        <f aca="false">SUM(AA173/H173)</f>
        <v>7491</v>
      </c>
      <c r="AC173" s="36" t="n">
        <f aca="false">AB173/$AB$2</f>
        <v>499.4</v>
      </c>
    </row>
    <row r="174" customFormat="false" ht="19.5" hidden="false" customHeight="true" outlineLevel="0" collapsed="false">
      <c r="A174" s="46" t="s">
        <v>60</v>
      </c>
      <c r="B174" s="45" t="s">
        <v>17</v>
      </c>
      <c r="C174" s="25" t="n">
        <v>703</v>
      </c>
      <c r="D174" s="26" t="s">
        <v>149</v>
      </c>
      <c r="E174" s="27" t="s">
        <v>47</v>
      </c>
      <c r="F174" s="28" t="s">
        <v>48</v>
      </c>
      <c r="G174" s="29" t="n">
        <v>10</v>
      </c>
      <c r="H174" s="30" t="n">
        <v>1</v>
      </c>
      <c r="I174" s="31" t="s">
        <v>22</v>
      </c>
      <c r="J174" s="32" t="n">
        <v>45898</v>
      </c>
      <c r="K174" s="33"/>
      <c r="L174" s="33"/>
      <c r="M174" s="33" t="n">
        <v>3128</v>
      </c>
      <c r="N174" s="33"/>
      <c r="O174" s="33"/>
      <c r="P174" s="33"/>
      <c r="Q174" s="33" t="n">
        <v>3607</v>
      </c>
      <c r="R174" s="33"/>
      <c r="S174" s="33"/>
      <c r="T174" s="33" t="n">
        <v>3656</v>
      </c>
      <c r="U174" s="33"/>
      <c r="V174" s="33"/>
      <c r="W174" s="33" t="n">
        <v>3326</v>
      </c>
      <c r="X174" s="33"/>
      <c r="Y174" s="33"/>
      <c r="Z174" s="33"/>
      <c r="AA174" s="34" t="n">
        <f aca="false">SUM(K174:Z174)</f>
        <v>13717</v>
      </c>
      <c r="AB174" s="35" t="n">
        <f aca="false">SUM(AA174/H174)</f>
        <v>13717</v>
      </c>
      <c r="AC174" s="36" t="n">
        <f aca="false">AB174/$AB$2</f>
        <v>914.466666666667</v>
      </c>
    </row>
    <row r="175" customFormat="false" ht="19.5" hidden="false" customHeight="true" outlineLevel="0" collapsed="false">
      <c r="A175" s="24" t="s">
        <v>41</v>
      </c>
      <c r="B175" s="45" t="s">
        <v>42</v>
      </c>
      <c r="C175" s="25" t="n">
        <v>103</v>
      </c>
      <c r="D175" s="26" t="s">
        <v>124</v>
      </c>
      <c r="E175" s="27" t="s">
        <v>32</v>
      </c>
      <c r="F175" s="28" t="s">
        <v>33</v>
      </c>
      <c r="G175" s="29" t="s">
        <v>81</v>
      </c>
      <c r="H175" s="30" t="n">
        <v>1</v>
      </c>
      <c r="I175" s="31" t="s">
        <v>22</v>
      </c>
      <c r="J175" s="32" t="n">
        <v>45908</v>
      </c>
      <c r="K175" s="33" t="n">
        <v>1296</v>
      </c>
      <c r="L175" s="33"/>
      <c r="M175" s="33"/>
      <c r="N175" s="33" t="n">
        <v>856</v>
      </c>
      <c r="O175" s="33"/>
      <c r="P175" s="33"/>
      <c r="Q175" s="33" t="n">
        <v>585</v>
      </c>
      <c r="R175" s="33" t="n">
        <v>1581</v>
      </c>
      <c r="S175" s="33"/>
      <c r="T175" s="33"/>
      <c r="U175" s="33"/>
      <c r="V175" s="33" t="n">
        <v>1537</v>
      </c>
      <c r="W175" s="33"/>
      <c r="X175" s="33"/>
      <c r="Y175" s="33"/>
      <c r="Z175" s="33"/>
      <c r="AA175" s="34" t="n">
        <f aca="false">SUM(K175:Z175)</f>
        <v>5855</v>
      </c>
      <c r="AB175" s="35" t="n">
        <f aca="false">SUM(AA175/H175)</f>
        <v>5855</v>
      </c>
      <c r="AC175" s="36" t="n">
        <f aca="false">AB175/$AB$2</f>
        <v>390.333333333333</v>
      </c>
    </row>
    <row r="176" customFormat="false" ht="19.5" hidden="false" customHeight="true" outlineLevel="0" collapsed="false">
      <c r="A176" s="46" t="s">
        <v>60</v>
      </c>
      <c r="B176" s="45" t="s">
        <v>17</v>
      </c>
      <c r="C176" s="25" t="n">
        <v>705</v>
      </c>
      <c r="D176" s="26" t="s">
        <v>154</v>
      </c>
      <c r="E176" s="27" t="s">
        <v>35</v>
      </c>
      <c r="F176" s="28" t="s">
        <v>20</v>
      </c>
      <c r="G176" s="29" t="n">
        <v>8</v>
      </c>
      <c r="H176" s="30" t="n">
        <v>1</v>
      </c>
      <c r="I176" s="31" t="s">
        <v>22</v>
      </c>
      <c r="J176" s="32" t="n">
        <v>45882</v>
      </c>
      <c r="K176" s="33" t="n">
        <v>502</v>
      </c>
      <c r="L176" s="33"/>
      <c r="M176" s="33" t="n">
        <v>842</v>
      </c>
      <c r="N176" s="33"/>
      <c r="O176" s="33" t="n">
        <v>654</v>
      </c>
      <c r="P176" s="33"/>
      <c r="Q176" s="33" t="n">
        <v>930</v>
      </c>
      <c r="R176" s="33"/>
      <c r="S176" s="33" t="n">
        <v>1230</v>
      </c>
      <c r="T176" s="33"/>
      <c r="U176" s="33" t="n">
        <v>748</v>
      </c>
      <c r="V176" s="33"/>
      <c r="W176" s="33" t="n">
        <v>588</v>
      </c>
      <c r="X176" s="33"/>
      <c r="Y176" s="33" t="n">
        <v>548</v>
      </c>
      <c r="Z176" s="33"/>
      <c r="AA176" s="34" t="n">
        <f aca="false">SUM(K176:Z176)</f>
        <v>6042</v>
      </c>
      <c r="AB176" s="35" t="n">
        <f aca="false">SUM(AA176/H176)</f>
        <v>6042</v>
      </c>
      <c r="AC176" s="36" t="n">
        <f aca="false">AB176/$AB$2</f>
        <v>402.8</v>
      </c>
    </row>
    <row r="177" customFormat="false" ht="19.5" hidden="false" customHeight="true" outlineLevel="0" collapsed="false">
      <c r="A177" s="46" t="s">
        <v>60</v>
      </c>
      <c r="B177" s="45" t="s">
        <v>17</v>
      </c>
      <c r="C177" s="25" t="n">
        <v>705</v>
      </c>
      <c r="D177" s="26" t="s">
        <v>154</v>
      </c>
      <c r="E177" s="27" t="s">
        <v>19</v>
      </c>
      <c r="F177" s="28" t="s">
        <v>20</v>
      </c>
      <c r="G177" s="29" t="s">
        <v>36</v>
      </c>
      <c r="H177" s="30" t="n">
        <v>2</v>
      </c>
      <c r="I177" s="31" t="s">
        <v>22</v>
      </c>
      <c r="J177" s="32" t="n">
        <v>45894</v>
      </c>
      <c r="K177" s="33"/>
      <c r="L177" s="33"/>
      <c r="M177" s="33"/>
      <c r="N177" s="33" t="n">
        <v>1680</v>
      </c>
      <c r="O177" s="33"/>
      <c r="P177" s="33"/>
      <c r="Q177" s="33"/>
      <c r="R177" s="33"/>
      <c r="S177" s="33" t="n">
        <v>2200</v>
      </c>
      <c r="T177" s="33" t="n">
        <v>2500</v>
      </c>
      <c r="U177" s="33"/>
      <c r="V177" s="33"/>
      <c r="W177" s="33" t="n">
        <v>1612</v>
      </c>
      <c r="X177" s="33"/>
      <c r="Y177" s="33" t="n">
        <v>1788</v>
      </c>
      <c r="Z177" s="33"/>
      <c r="AA177" s="34" t="n">
        <f aca="false">SUM(K177:Z177)</f>
        <v>9780</v>
      </c>
      <c r="AB177" s="35" t="n">
        <f aca="false">SUM(AA177/H177)</f>
        <v>4890</v>
      </c>
      <c r="AC177" s="36" t="n">
        <f aca="false">AB177/$AB$2</f>
        <v>326</v>
      </c>
    </row>
    <row r="178" customFormat="false" ht="19.5" hidden="false" customHeight="true" outlineLevel="0" collapsed="false">
      <c r="A178" s="47" t="s">
        <v>65</v>
      </c>
      <c r="B178" s="45" t="s">
        <v>66</v>
      </c>
      <c r="C178" s="25" t="n">
        <v>905</v>
      </c>
      <c r="D178" s="26" t="s">
        <v>143</v>
      </c>
      <c r="E178" s="27" t="s">
        <v>32</v>
      </c>
      <c r="F178" s="28" t="s">
        <v>33</v>
      </c>
      <c r="G178" s="29" t="n">
        <v>3</v>
      </c>
      <c r="H178" s="30" t="n">
        <v>1.25</v>
      </c>
      <c r="I178" s="31" t="s">
        <v>22</v>
      </c>
      <c r="J178" s="32" t="n">
        <v>45899</v>
      </c>
      <c r="K178" s="33" t="n">
        <v>4082</v>
      </c>
      <c r="L178" s="33"/>
      <c r="M178" s="33"/>
      <c r="N178" s="33"/>
      <c r="O178" s="33"/>
      <c r="P178" s="33" t="n">
        <v>3312</v>
      </c>
      <c r="Q178" s="33"/>
      <c r="R178" s="33"/>
      <c r="S178" s="33"/>
      <c r="T178" s="33"/>
      <c r="U178" s="33"/>
      <c r="V178" s="33"/>
      <c r="W178" s="33" t="n">
        <v>6532</v>
      </c>
      <c r="X178" s="33"/>
      <c r="Y178" s="33"/>
      <c r="Z178" s="33"/>
      <c r="AA178" s="34" t="n">
        <f aca="false">SUM(K178:Z178)</f>
        <v>13926</v>
      </c>
      <c r="AB178" s="35" t="n">
        <f aca="false">SUM(AA178/H178)</f>
        <v>11140.8</v>
      </c>
      <c r="AC178" s="36" t="n">
        <f aca="false">AB178/$AB$2</f>
        <v>742.72</v>
      </c>
    </row>
    <row r="179" customFormat="false" ht="19.5" hidden="false" customHeight="true" outlineLevel="0" collapsed="false">
      <c r="A179" s="24" t="s">
        <v>41</v>
      </c>
      <c r="B179" s="45" t="s">
        <v>42</v>
      </c>
      <c r="C179" s="25" t="n">
        <v>103</v>
      </c>
      <c r="D179" s="26" t="s">
        <v>124</v>
      </c>
      <c r="E179" s="27" t="s">
        <v>86</v>
      </c>
      <c r="F179" s="28" t="s">
        <v>87</v>
      </c>
      <c r="G179" s="29" t="s">
        <v>59</v>
      </c>
      <c r="H179" s="30" t="n">
        <v>1.33</v>
      </c>
      <c r="I179" s="31" t="s">
        <v>22</v>
      </c>
      <c r="J179" s="32" t="n">
        <v>45900</v>
      </c>
      <c r="K179" s="33"/>
      <c r="L179" s="33" t="n">
        <v>1932</v>
      </c>
      <c r="M179" s="33"/>
      <c r="N179" s="33"/>
      <c r="O179" s="33"/>
      <c r="P179" s="33"/>
      <c r="Q179" s="33"/>
      <c r="R179" s="33" t="n">
        <v>7643</v>
      </c>
      <c r="S179" s="33" t="n">
        <v>3086</v>
      </c>
      <c r="T179" s="33"/>
      <c r="U179" s="33" t="n">
        <v>3226</v>
      </c>
      <c r="V179" s="33" t="n">
        <v>3326</v>
      </c>
      <c r="W179" s="33"/>
      <c r="X179" s="33"/>
      <c r="Y179" s="33" t="n">
        <v>1457</v>
      </c>
      <c r="Z179" s="33"/>
      <c r="AA179" s="34" t="n">
        <f aca="false">SUM(K179:Z179)</f>
        <v>20670</v>
      </c>
      <c r="AB179" s="35" t="n">
        <f aca="false">SUM(AA179/H179)</f>
        <v>15541.3533834586</v>
      </c>
      <c r="AC179" s="36" t="n">
        <f aca="false">AB179/$AB$2</f>
        <v>1036.09022556391</v>
      </c>
    </row>
    <row r="180" customFormat="false" ht="19.5" hidden="false" customHeight="true" outlineLevel="0" collapsed="false">
      <c r="A180" s="51" t="s">
        <v>96</v>
      </c>
      <c r="B180" s="45" t="s">
        <v>66</v>
      </c>
      <c r="C180" s="25" t="n">
        <v>901</v>
      </c>
      <c r="D180" s="26" t="s">
        <v>97</v>
      </c>
      <c r="E180" s="27" t="s">
        <v>173</v>
      </c>
      <c r="F180" s="28" t="s">
        <v>87</v>
      </c>
      <c r="G180" s="29" t="s">
        <v>88</v>
      </c>
      <c r="H180" s="30" t="n">
        <v>2</v>
      </c>
      <c r="I180" s="31" t="s">
        <v>22</v>
      </c>
      <c r="J180" s="32" t="n">
        <v>45923</v>
      </c>
      <c r="K180" s="33" t="n">
        <v>3159</v>
      </c>
      <c r="L180" s="33" t="n">
        <v>2932</v>
      </c>
      <c r="M180" s="33"/>
      <c r="N180" s="33" t="n">
        <v>3594</v>
      </c>
      <c r="O180" s="33" t="n">
        <v>1574</v>
      </c>
      <c r="P180" s="33"/>
      <c r="Q180" s="33"/>
      <c r="R180" s="33" t="n">
        <v>26</v>
      </c>
      <c r="S180" s="33"/>
      <c r="T180" s="33" t="n">
        <v>3630</v>
      </c>
      <c r="U180" s="33" t="n">
        <v>4358</v>
      </c>
      <c r="V180" s="33" t="n">
        <v>3637</v>
      </c>
      <c r="W180" s="33" t="n">
        <v>4446</v>
      </c>
      <c r="X180" s="33" t="n">
        <v>462</v>
      </c>
      <c r="Y180" s="33"/>
      <c r="Z180" s="33"/>
      <c r="AA180" s="34" t="n">
        <f aca="false">SUM(K180:Z180)</f>
        <v>27818</v>
      </c>
      <c r="AB180" s="35" t="n">
        <f aca="false">SUM(AA180/H180)</f>
        <v>13909</v>
      </c>
      <c r="AC180" s="36" t="n">
        <f aca="false">AB180/$AB$2</f>
        <v>927.266666666667</v>
      </c>
    </row>
    <row r="181" customFormat="false" ht="19.5" hidden="false" customHeight="true" outlineLevel="0" collapsed="false">
      <c r="A181" s="44" t="s">
        <v>56</v>
      </c>
      <c r="B181" s="45" t="s">
        <v>57</v>
      </c>
      <c r="C181" s="25" t="n">
        <v>602</v>
      </c>
      <c r="D181" s="26" t="s">
        <v>82</v>
      </c>
      <c r="E181" s="27" t="s">
        <v>171</v>
      </c>
      <c r="F181" s="28" t="s">
        <v>48</v>
      </c>
      <c r="G181" s="29" t="s">
        <v>44</v>
      </c>
      <c r="H181" s="30" t="n">
        <v>2.25</v>
      </c>
      <c r="I181" s="31" t="s">
        <v>22</v>
      </c>
      <c r="J181" s="32" t="n">
        <v>45909</v>
      </c>
      <c r="K181" s="33"/>
      <c r="L181" s="33"/>
      <c r="M181" s="33" t="n">
        <v>2654</v>
      </c>
      <c r="N181" s="33"/>
      <c r="O181" s="33"/>
      <c r="P181" s="33" t="n">
        <v>2881</v>
      </c>
      <c r="Q181" s="33"/>
      <c r="R181" s="33"/>
      <c r="S181" s="33" t="n">
        <v>3392</v>
      </c>
      <c r="T181" s="33"/>
      <c r="U181" s="33" t="n">
        <v>2134</v>
      </c>
      <c r="V181" s="33"/>
      <c r="W181" s="33"/>
      <c r="X181" s="33" t="n">
        <v>2686</v>
      </c>
      <c r="Y181" s="33"/>
      <c r="Z181" s="33"/>
      <c r="AA181" s="34" t="n">
        <f aca="false">SUM(K181:Z181)</f>
        <v>13747</v>
      </c>
      <c r="AB181" s="35" t="n">
        <f aca="false">SUM(AA181/H181)</f>
        <v>6109.77777777778</v>
      </c>
      <c r="AC181" s="36" t="n">
        <f aca="false">AB181/$AB$2</f>
        <v>407.318518518519</v>
      </c>
    </row>
    <row r="182" customFormat="false" ht="19.5" hidden="false" customHeight="true" outlineLevel="0" collapsed="false">
      <c r="A182" s="24" t="s">
        <v>41</v>
      </c>
      <c r="B182" s="45" t="s">
        <v>42</v>
      </c>
      <c r="C182" s="25" t="n">
        <v>104</v>
      </c>
      <c r="D182" s="26" t="s">
        <v>94</v>
      </c>
      <c r="E182" s="27" t="s">
        <v>95</v>
      </c>
      <c r="F182" s="28" t="s">
        <v>33</v>
      </c>
      <c r="G182" s="29" t="s">
        <v>177</v>
      </c>
      <c r="H182" s="30" t="n">
        <v>2.2</v>
      </c>
      <c r="I182" s="31" t="s">
        <v>22</v>
      </c>
      <c r="J182" s="32" t="n">
        <v>45901</v>
      </c>
      <c r="K182" s="33"/>
      <c r="L182" s="33" t="n">
        <v>3563</v>
      </c>
      <c r="M182" s="33"/>
      <c r="N182" s="33"/>
      <c r="O182" s="33" t="n">
        <v>936</v>
      </c>
      <c r="P182" s="33" t="n">
        <v>885</v>
      </c>
      <c r="Q182" s="33"/>
      <c r="R182" s="33"/>
      <c r="S182" s="33"/>
      <c r="T182" s="33"/>
      <c r="U182" s="33" t="n">
        <v>4987</v>
      </c>
      <c r="V182" s="33" t="n">
        <v>3825</v>
      </c>
      <c r="W182" s="33"/>
      <c r="X182" s="33" t="n">
        <v>3098</v>
      </c>
      <c r="Y182" s="33" t="n">
        <v>1815</v>
      </c>
      <c r="Z182" s="33"/>
      <c r="AA182" s="34" t="n">
        <f aca="false">SUM(K182:Z182)</f>
        <v>19109</v>
      </c>
      <c r="AB182" s="35" t="n">
        <f aca="false">SUM(AA182/H182)</f>
        <v>8685.90909090909</v>
      </c>
      <c r="AC182" s="36" t="n">
        <f aca="false">AB182/$AB$2</f>
        <v>579.060606060606</v>
      </c>
    </row>
    <row r="183" customFormat="false" ht="19.5" hidden="false" customHeight="true" outlineLevel="0" collapsed="false">
      <c r="A183" s="66" t="s">
        <v>16</v>
      </c>
      <c r="B183" s="45" t="s">
        <v>17</v>
      </c>
      <c r="C183" s="25" t="n">
        <v>702</v>
      </c>
      <c r="D183" s="26" t="s">
        <v>119</v>
      </c>
      <c r="E183" s="27" t="s">
        <v>49</v>
      </c>
      <c r="F183" s="28" t="s">
        <v>48</v>
      </c>
      <c r="G183" s="29" t="s">
        <v>59</v>
      </c>
      <c r="H183" s="30" t="n">
        <v>1.85</v>
      </c>
      <c r="I183" s="31" t="s">
        <v>22</v>
      </c>
      <c r="J183" s="32" t="n">
        <v>45900</v>
      </c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4" t="n">
        <f aca="false">SUM(K183:Z183)</f>
        <v>0</v>
      </c>
      <c r="AB183" s="35" t="n">
        <f aca="false">SUM(AA183/H183)</f>
        <v>0</v>
      </c>
      <c r="AC183" s="36" t="n">
        <f aca="false">AB183/$AB$2</f>
        <v>0</v>
      </c>
    </row>
    <row r="184" customFormat="false" ht="19.5" hidden="false" customHeight="true" outlineLevel="0" collapsed="false">
      <c r="A184" s="46" t="s">
        <v>60</v>
      </c>
      <c r="B184" s="45" t="s">
        <v>66</v>
      </c>
      <c r="C184" s="25" t="n">
        <v>403</v>
      </c>
      <c r="D184" s="26" t="s">
        <v>178</v>
      </c>
      <c r="E184" s="27" t="s">
        <v>47</v>
      </c>
      <c r="F184" s="28" t="s">
        <v>48</v>
      </c>
      <c r="G184" s="29" t="s">
        <v>179</v>
      </c>
      <c r="H184" s="30" t="n">
        <v>4</v>
      </c>
      <c r="I184" s="31" t="s">
        <v>22</v>
      </c>
      <c r="J184" s="32" t="n">
        <v>45894</v>
      </c>
      <c r="K184" s="33" t="n">
        <v>3529</v>
      </c>
      <c r="L184" s="33" t="n">
        <v>4841</v>
      </c>
      <c r="M184" s="33"/>
      <c r="N184" s="33" t="n">
        <v>5534</v>
      </c>
      <c r="O184" s="33"/>
      <c r="P184" s="33" t="n">
        <v>6096</v>
      </c>
      <c r="Q184" s="33" t="n">
        <v>4782</v>
      </c>
      <c r="R184" s="33"/>
      <c r="S184" s="33" t="n">
        <v>6581</v>
      </c>
      <c r="T184" s="33" t="n">
        <v>3646</v>
      </c>
      <c r="U184" s="33" t="n">
        <v>5865</v>
      </c>
      <c r="V184" s="33" t="n">
        <v>6343</v>
      </c>
      <c r="W184" s="33" t="n">
        <v>3986</v>
      </c>
      <c r="X184" s="33" t="n">
        <v>4058</v>
      </c>
      <c r="Y184" s="33" t="n">
        <v>5188</v>
      </c>
      <c r="Z184" s="33"/>
      <c r="AA184" s="34" t="n">
        <f aca="false">SUM(K184:Z184)</f>
        <v>60449</v>
      </c>
      <c r="AB184" s="35" t="n">
        <f aca="false">SUM(AA184/H184)</f>
        <v>15112.25</v>
      </c>
      <c r="AC184" s="36" t="n">
        <f aca="false">AB184/$AB$2</f>
        <v>1007.48333333333</v>
      </c>
    </row>
    <row r="185" customFormat="false" ht="19.5" hidden="false" customHeight="true" outlineLevel="0" collapsed="false">
      <c r="A185" s="46" t="s">
        <v>60</v>
      </c>
      <c r="B185" s="45" t="s">
        <v>17</v>
      </c>
      <c r="C185" s="25" t="n">
        <v>703</v>
      </c>
      <c r="D185" s="26" t="s">
        <v>149</v>
      </c>
      <c r="E185" s="27" t="s">
        <v>145</v>
      </c>
      <c r="F185" s="28" t="s">
        <v>48</v>
      </c>
      <c r="G185" s="29" t="s">
        <v>88</v>
      </c>
      <c r="H185" s="30" t="n">
        <v>3</v>
      </c>
      <c r="I185" s="31" t="s">
        <v>22</v>
      </c>
      <c r="J185" s="32" t="n">
        <v>45914</v>
      </c>
      <c r="K185" s="33"/>
      <c r="L185" s="33"/>
      <c r="M185" s="33"/>
      <c r="N185" s="33" t="n">
        <v>7790</v>
      </c>
      <c r="O185" s="33"/>
      <c r="P185" s="33"/>
      <c r="Q185" s="33" t="n">
        <v>4642</v>
      </c>
      <c r="R185" s="33" t="n">
        <v>6897</v>
      </c>
      <c r="S185" s="33"/>
      <c r="T185" s="33" t="n">
        <v>5831</v>
      </c>
      <c r="U185" s="33" t="n">
        <v>3230</v>
      </c>
      <c r="V185" s="33"/>
      <c r="W185" s="33" t="n">
        <v>4283</v>
      </c>
      <c r="X185" s="33"/>
      <c r="Y185" s="33"/>
      <c r="Z185" s="33"/>
      <c r="AA185" s="34" t="n">
        <f aca="false">SUM(K185:Z185)</f>
        <v>32673</v>
      </c>
      <c r="AB185" s="35" t="n">
        <f aca="false">SUM(AA185/H185)</f>
        <v>10891</v>
      </c>
      <c r="AC185" s="36" t="n">
        <f aca="false">AB185/$AB$2</f>
        <v>726.066666666667</v>
      </c>
    </row>
    <row r="186" customFormat="false" ht="19.5" hidden="false" customHeight="true" outlineLevel="0" collapsed="false">
      <c r="A186" s="44" t="s">
        <v>56</v>
      </c>
      <c r="B186" s="45" t="s">
        <v>57</v>
      </c>
      <c r="C186" s="25" t="n">
        <v>603</v>
      </c>
      <c r="D186" s="26" t="s">
        <v>58</v>
      </c>
      <c r="E186" s="27" t="s">
        <v>146</v>
      </c>
      <c r="F186" s="59" t="s">
        <v>87</v>
      </c>
      <c r="G186" s="29" t="s">
        <v>36</v>
      </c>
      <c r="H186" s="30" t="n">
        <v>2</v>
      </c>
      <c r="I186" s="31" t="s">
        <v>22</v>
      </c>
      <c r="J186" s="32" t="n">
        <v>45857</v>
      </c>
      <c r="K186" s="33" t="n">
        <v>3911</v>
      </c>
      <c r="L186" s="33" t="n">
        <v>684</v>
      </c>
      <c r="M186" s="33" t="n">
        <v>1565</v>
      </c>
      <c r="N186" s="33"/>
      <c r="O186" s="33"/>
      <c r="P186" s="33" t="n">
        <v>2608</v>
      </c>
      <c r="Q186" s="33" t="n">
        <v>649</v>
      </c>
      <c r="R186" s="33"/>
      <c r="S186" s="33" t="n">
        <v>2092</v>
      </c>
      <c r="T186" s="33" t="n">
        <v>2457</v>
      </c>
      <c r="U186" s="33"/>
      <c r="V186" s="33"/>
      <c r="W186" s="33"/>
      <c r="X186" s="33" t="n">
        <v>1084</v>
      </c>
      <c r="Y186" s="33" t="n">
        <v>855</v>
      </c>
      <c r="Z186" s="33"/>
      <c r="AA186" s="34" t="n">
        <f aca="false">SUM(K186:Z186)</f>
        <v>15905</v>
      </c>
      <c r="AB186" s="35" t="n">
        <f aca="false">SUM(AA186/H186)</f>
        <v>7952.5</v>
      </c>
      <c r="AC186" s="36" t="n">
        <f aca="false">AB186/$AB$2</f>
        <v>530.166666666667</v>
      </c>
    </row>
    <row r="187" customFormat="false" ht="19.5" hidden="false" customHeight="true" outlineLevel="0" collapsed="false">
      <c r="A187" s="46" t="s">
        <v>60</v>
      </c>
      <c r="B187" s="38" t="s">
        <v>17</v>
      </c>
      <c r="C187" s="25" t="n">
        <v>802</v>
      </c>
      <c r="D187" s="26" t="s">
        <v>61</v>
      </c>
      <c r="E187" s="27" t="s">
        <v>19</v>
      </c>
      <c r="F187" s="28" t="s">
        <v>20</v>
      </c>
      <c r="G187" s="29" t="n">
        <v>9</v>
      </c>
      <c r="H187" s="30" t="n">
        <v>1</v>
      </c>
      <c r="I187" s="31" t="s">
        <v>22</v>
      </c>
      <c r="J187" s="32" t="n">
        <v>45883</v>
      </c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4" t="n">
        <f aca="false">SUM(K187:Z187)</f>
        <v>0</v>
      </c>
      <c r="AB187" s="35" t="n">
        <f aca="false">SUM(AA187/H187)</f>
        <v>0</v>
      </c>
      <c r="AC187" s="36" t="n">
        <f aca="false">AB187/$AB$2</f>
        <v>0</v>
      </c>
    </row>
    <row r="188" customFormat="false" ht="19.5" hidden="false" customHeight="true" outlineLevel="0" collapsed="false">
      <c r="A188" s="24" t="s">
        <v>41</v>
      </c>
      <c r="B188" s="38" t="s">
        <v>42</v>
      </c>
      <c r="C188" s="25" t="n">
        <v>104</v>
      </c>
      <c r="D188" s="26" t="s">
        <v>94</v>
      </c>
      <c r="E188" s="27" t="s">
        <v>95</v>
      </c>
      <c r="F188" s="28" t="s">
        <v>33</v>
      </c>
      <c r="G188" s="29" t="s">
        <v>180</v>
      </c>
      <c r="H188" s="30" t="n">
        <v>2.28</v>
      </c>
      <c r="I188" s="31" t="s">
        <v>22</v>
      </c>
      <c r="J188" s="32" t="n">
        <v>45933</v>
      </c>
      <c r="K188" s="33" t="n">
        <v>6676</v>
      </c>
      <c r="L188" s="33"/>
      <c r="M188" s="33"/>
      <c r="N188" s="33" t="n">
        <v>1072</v>
      </c>
      <c r="O188" s="33" t="n">
        <v>2763</v>
      </c>
      <c r="P188" s="33"/>
      <c r="Q188" s="33"/>
      <c r="R188" s="33"/>
      <c r="S188" s="33" t="n">
        <v>4781</v>
      </c>
      <c r="T188" s="33" t="n">
        <v>1862</v>
      </c>
      <c r="U188" s="33"/>
      <c r="V188" s="33"/>
      <c r="W188" s="33" t="n">
        <v>5993</v>
      </c>
      <c r="X188" s="33"/>
      <c r="Y188" s="33" t="n">
        <v>1605</v>
      </c>
      <c r="Z188" s="33"/>
      <c r="AA188" s="34" t="n">
        <f aca="false">SUM(K188:Z188)</f>
        <v>24752</v>
      </c>
      <c r="AB188" s="35" t="n">
        <f aca="false">SUM(AA188/H188)</f>
        <v>10856.1403508772</v>
      </c>
      <c r="AC188" s="36" t="n">
        <f aca="false">AB188/$AB$2</f>
        <v>723.74269005848</v>
      </c>
    </row>
    <row r="189" customFormat="false" ht="19.5" hidden="false" customHeight="true" outlineLevel="0" collapsed="false">
      <c r="A189" s="68" t="s">
        <v>155</v>
      </c>
      <c r="B189" s="38" t="s">
        <v>102</v>
      </c>
      <c r="C189" s="25" t="n">
        <v>1012</v>
      </c>
      <c r="D189" s="26" t="s">
        <v>156</v>
      </c>
      <c r="E189" s="27" t="s">
        <v>181</v>
      </c>
      <c r="F189" s="28" t="s">
        <v>20</v>
      </c>
      <c r="G189" s="29" t="s">
        <v>63</v>
      </c>
      <c r="H189" s="30" t="n">
        <v>2.23</v>
      </c>
      <c r="I189" s="31" t="s">
        <v>22</v>
      </c>
      <c r="J189" s="32" t="n">
        <v>45891</v>
      </c>
      <c r="K189" s="33" t="n">
        <v>2113</v>
      </c>
      <c r="L189" s="33" t="n">
        <v>93</v>
      </c>
      <c r="M189" s="33"/>
      <c r="N189" s="33"/>
      <c r="O189" s="33"/>
      <c r="P189" s="33"/>
      <c r="Q189" s="33" t="n">
        <v>1840</v>
      </c>
      <c r="R189" s="33" t="n">
        <v>1711</v>
      </c>
      <c r="S189" s="33"/>
      <c r="T189" s="33"/>
      <c r="U189" s="33" t="n">
        <v>356</v>
      </c>
      <c r="V189" s="33" t="n">
        <v>2353</v>
      </c>
      <c r="W189" s="33"/>
      <c r="X189" s="33"/>
      <c r="Y189" s="33"/>
      <c r="Z189" s="33"/>
      <c r="AA189" s="34" t="n">
        <f aca="false">SUM(K189:Z189)</f>
        <v>8466</v>
      </c>
      <c r="AB189" s="35" t="n">
        <f aca="false">SUM(AA189/H189)</f>
        <v>3796.41255605381</v>
      </c>
      <c r="AC189" s="36" t="n">
        <f aca="false">AB189/$AB$2</f>
        <v>253.094170403587</v>
      </c>
    </row>
    <row r="190" customFormat="false" ht="19.5" hidden="false" customHeight="true" outlineLevel="0" collapsed="false">
      <c r="A190" s="24" t="s">
        <v>41</v>
      </c>
      <c r="B190" s="38" t="s">
        <v>42</v>
      </c>
      <c r="C190" s="25" t="n">
        <v>101</v>
      </c>
      <c r="D190" s="26" t="s">
        <v>53</v>
      </c>
      <c r="E190" s="27" t="s">
        <v>23</v>
      </c>
      <c r="F190" s="28" t="s">
        <v>20</v>
      </c>
      <c r="G190" s="29" t="s">
        <v>182</v>
      </c>
      <c r="H190" s="30" t="n">
        <v>2.25</v>
      </c>
      <c r="I190" s="31" t="s">
        <v>22</v>
      </c>
      <c r="J190" s="32" t="n">
        <v>45916</v>
      </c>
      <c r="K190" s="33"/>
      <c r="L190" s="33"/>
      <c r="M190" s="33" t="n">
        <v>271</v>
      </c>
      <c r="N190" s="33"/>
      <c r="O190" s="33"/>
      <c r="P190" s="33"/>
      <c r="Q190" s="33" t="n">
        <v>4019</v>
      </c>
      <c r="R190" s="33" t="n">
        <v>649</v>
      </c>
      <c r="S190" s="33"/>
      <c r="T190" s="33"/>
      <c r="U190" s="33"/>
      <c r="V190" s="33"/>
      <c r="W190" s="33" t="n">
        <v>3166</v>
      </c>
      <c r="X190" s="33"/>
      <c r="Y190" s="33"/>
      <c r="Z190" s="33"/>
      <c r="AA190" s="34" t="n">
        <f aca="false">SUM(K190:Z190)</f>
        <v>8105</v>
      </c>
      <c r="AB190" s="35" t="n">
        <f aca="false">SUM(AA190/H190)</f>
        <v>3602.22222222222</v>
      </c>
      <c r="AC190" s="36" t="n">
        <f aca="false">AB190/$AB$2</f>
        <v>240.148148148148</v>
      </c>
    </row>
    <row r="191" customFormat="false" ht="19.5" hidden="false" customHeight="true" outlineLevel="0" collapsed="false">
      <c r="A191" s="24" t="s">
        <v>41</v>
      </c>
      <c r="B191" s="38" t="s">
        <v>42</v>
      </c>
      <c r="C191" s="25" t="n">
        <v>101</v>
      </c>
      <c r="D191" s="26" t="s">
        <v>53</v>
      </c>
      <c r="E191" s="27" t="s">
        <v>23</v>
      </c>
      <c r="F191" s="28" t="s">
        <v>20</v>
      </c>
      <c r="G191" s="29" t="s">
        <v>121</v>
      </c>
      <c r="H191" s="30" t="n">
        <v>3</v>
      </c>
      <c r="I191" s="31" t="s">
        <v>22</v>
      </c>
      <c r="J191" s="32" t="n">
        <v>45907</v>
      </c>
      <c r="K191" s="33"/>
      <c r="L191" s="33" t="n">
        <v>3336</v>
      </c>
      <c r="M191" s="33" t="n">
        <v>1294</v>
      </c>
      <c r="N191" s="33"/>
      <c r="O191" s="33"/>
      <c r="P191" s="33"/>
      <c r="Q191" s="33"/>
      <c r="R191" s="33" t="n">
        <v>2491</v>
      </c>
      <c r="S191" s="33" t="n">
        <v>5229</v>
      </c>
      <c r="T191" s="33"/>
      <c r="U191" s="33"/>
      <c r="V191" s="33" t="n">
        <v>216</v>
      </c>
      <c r="W191" s="33"/>
      <c r="X191" s="33" t="n">
        <v>2451</v>
      </c>
      <c r="Y191" s="33" t="n">
        <v>3404</v>
      </c>
      <c r="Z191" s="33"/>
      <c r="AA191" s="34" t="n">
        <f aca="false">SUM(K191:Z191)</f>
        <v>18421</v>
      </c>
      <c r="AB191" s="35" t="n">
        <f aca="false">SUM(AA191/H191)</f>
        <v>6140.33333333333</v>
      </c>
      <c r="AC191" s="36" t="n">
        <f aca="false">AB191/$AB$2</f>
        <v>409.355555555556</v>
      </c>
    </row>
    <row r="192" customFormat="false" ht="19.5" hidden="false" customHeight="true" outlineLevel="0" collapsed="false">
      <c r="A192" s="46" t="s">
        <v>60</v>
      </c>
      <c r="B192" s="38" t="s">
        <v>66</v>
      </c>
      <c r="C192" s="25" t="n">
        <v>403</v>
      </c>
      <c r="D192" s="26" t="s">
        <v>178</v>
      </c>
      <c r="E192" s="27" t="s">
        <v>183</v>
      </c>
      <c r="F192" s="28" t="s">
        <v>69</v>
      </c>
      <c r="G192" s="29" t="n">
        <v>1</v>
      </c>
      <c r="H192" s="30" t="n">
        <v>0.8</v>
      </c>
      <c r="I192" s="31" t="s">
        <v>22</v>
      </c>
      <c r="J192" s="32" t="n">
        <v>45921</v>
      </c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4" t="n">
        <f aca="false">SUM(K192:Z192)</f>
        <v>0</v>
      </c>
      <c r="AB192" s="35" t="n">
        <f aca="false">SUM(AA192/H192)</f>
        <v>0</v>
      </c>
      <c r="AC192" s="36" t="n">
        <f aca="false">AB192/$AB$2</f>
        <v>0</v>
      </c>
    </row>
    <row r="193" customFormat="false" ht="19.5" hidden="false" customHeight="true" outlineLevel="0" collapsed="false">
      <c r="A193" s="46" t="s">
        <v>60</v>
      </c>
      <c r="B193" s="38" t="s">
        <v>17</v>
      </c>
      <c r="C193" s="25" t="n">
        <v>802</v>
      </c>
      <c r="D193" s="26" t="s">
        <v>61</v>
      </c>
      <c r="E193" s="27" t="s">
        <v>74</v>
      </c>
      <c r="F193" s="28" t="s">
        <v>20</v>
      </c>
      <c r="G193" s="29" t="n">
        <v>2</v>
      </c>
      <c r="H193" s="30" t="n">
        <v>1</v>
      </c>
      <c r="I193" s="31" t="s">
        <v>22</v>
      </c>
      <c r="J193" s="32" t="n">
        <v>45862</v>
      </c>
      <c r="K193" s="33" t="n">
        <v>1331</v>
      </c>
      <c r="L193" s="33"/>
      <c r="M193" s="33" t="n">
        <v>633</v>
      </c>
      <c r="N193" s="33"/>
      <c r="O193" s="33" t="n">
        <v>1226</v>
      </c>
      <c r="P193" s="33"/>
      <c r="Q193" s="33" t="n">
        <v>950</v>
      </c>
      <c r="R193" s="33"/>
      <c r="S193" s="33" t="n">
        <v>902</v>
      </c>
      <c r="T193" s="33"/>
      <c r="U193" s="33"/>
      <c r="V193" s="33"/>
      <c r="W193" s="33"/>
      <c r="X193" s="33" t="n">
        <v>1489</v>
      </c>
      <c r="Y193" s="33"/>
      <c r="Z193" s="33"/>
      <c r="AA193" s="34" t="n">
        <f aca="false">SUM(K193:Z193)</f>
        <v>6531</v>
      </c>
      <c r="AB193" s="35" t="n">
        <f aca="false">SUM(AA193/H193)</f>
        <v>6531</v>
      </c>
      <c r="AC193" s="36" t="n">
        <f aca="false">AB193/$AB$2</f>
        <v>435.4</v>
      </c>
    </row>
    <row r="194" customFormat="false" ht="19.5" hidden="false" customHeight="true" outlineLevel="0" collapsed="false">
      <c r="A194" s="50" t="s">
        <v>83</v>
      </c>
      <c r="B194" s="38" t="s">
        <v>84</v>
      </c>
      <c r="C194" s="25" t="n">
        <v>201</v>
      </c>
      <c r="D194" s="26" t="s">
        <v>123</v>
      </c>
      <c r="E194" s="27" t="s">
        <v>32</v>
      </c>
      <c r="F194" s="28" t="s">
        <v>33</v>
      </c>
      <c r="G194" s="29" t="s">
        <v>120</v>
      </c>
      <c r="H194" s="30" t="n">
        <v>2.05</v>
      </c>
      <c r="I194" s="31" t="s">
        <v>22</v>
      </c>
      <c r="J194" s="32" t="n">
        <v>45892</v>
      </c>
      <c r="K194" s="33" t="n">
        <v>3284</v>
      </c>
      <c r="L194" s="33"/>
      <c r="M194" s="33"/>
      <c r="N194" s="33" t="n">
        <v>328</v>
      </c>
      <c r="O194" s="33" t="n">
        <v>3675</v>
      </c>
      <c r="P194" s="33" t="n">
        <v>1218</v>
      </c>
      <c r="Q194" s="33"/>
      <c r="R194" s="33"/>
      <c r="S194" s="33" t="n">
        <v>3866</v>
      </c>
      <c r="T194" s="33" t="n">
        <v>4459</v>
      </c>
      <c r="U194" s="33" t="n">
        <v>806</v>
      </c>
      <c r="V194" s="33"/>
      <c r="W194" s="33" t="n">
        <v>3879</v>
      </c>
      <c r="X194" s="33" t="n">
        <v>3128</v>
      </c>
      <c r="Y194" s="33"/>
      <c r="Z194" s="33"/>
      <c r="AA194" s="34" t="n">
        <f aca="false">SUM(K194:Z194)</f>
        <v>24643</v>
      </c>
      <c r="AB194" s="35" t="n">
        <f aca="false">SUM(AA194/H194)</f>
        <v>12020.9756097561</v>
      </c>
      <c r="AC194" s="36" t="n">
        <f aca="false">AB194/$AB$2</f>
        <v>801.39837398374</v>
      </c>
    </row>
    <row r="195" customFormat="false" ht="19.5" hidden="false" customHeight="true" outlineLevel="0" collapsed="false">
      <c r="A195" s="66" t="s">
        <v>16</v>
      </c>
      <c r="B195" s="38" t="s">
        <v>17</v>
      </c>
      <c r="C195" s="25" t="n">
        <v>701</v>
      </c>
      <c r="D195" s="26" t="s">
        <v>18</v>
      </c>
      <c r="E195" s="27" t="s">
        <v>164</v>
      </c>
      <c r="F195" s="28" t="s">
        <v>87</v>
      </c>
      <c r="G195" s="29" t="n">
        <v>10</v>
      </c>
      <c r="H195" s="30" t="n">
        <v>0.8</v>
      </c>
      <c r="I195" s="31" t="s">
        <v>22</v>
      </c>
      <c r="J195" s="32" t="n">
        <v>45885</v>
      </c>
      <c r="K195" s="33"/>
      <c r="L195" s="33"/>
      <c r="M195" s="33"/>
      <c r="N195" s="33"/>
      <c r="O195" s="33"/>
      <c r="P195" s="33"/>
      <c r="Q195" s="33" t="n">
        <v>3180</v>
      </c>
      <c r="R195" s="33"/>
      <c r="S195" s="33" t="n">
        <v>2059</v>
      </c>
      <c r="T195" s="33"/>
      <c r="U195" s="33"/>
      <c r="V195" s="33" t="n">
        <v>1288</v>
      </c>
      <c r="W195" s="33"/>
      <c r="X195" s="33"/>
      <c r="Y195" s="33" t="n">
        <v>2650</v>
      </c>
      <c r="Z195" s="33"/>
      <c r="AA195" s="34" t="n">
        <f aca="false">SUM(K195:Z195)</f>
        <v>9177</v>
      </c>
      <c r="AB195" s="35" t="n">
        <f aca="false">SUM(AA195/H195)</f>
        <v>11471.25</v>
      </c>
      <c r="AC195" s="36" t="n">
        <f aca="false">AB195/$AB$2</f>
        <v>764.75</v>
      </c>
    </row>
    <row r="196" customFormat="false" ht="19.5" hidden="false" customHeight="true" outlineLevel="0" collapsed="false">
      <c r="A196" s="37" t="s">
        <v>25</v>
      </c>
      <c r="B196" s="38" t="s">
        <v>26</v>
      </c>
      <c r="C196" s="25" t="n">
        <v>503</v>
      </c>
      <c r="D196" s="26" t="s">
        <v>27</v>
      </c>
      <c r="E196" s="27" t="s">
        <v>32</v>
      </c>
      <c r="F196" s="28" t="s">
        <v>33</v>
      </c>
      <c r="G196" s="29" t="s">
        <v>44</v>
      </c>
      <c r="H196" s="30" t="n">
        <v>1.87</v>
      </c>
      <c r="I196" s="31" t="s">
        <v>22</v>
      </c>
      <c r="J196" s="32" t="n">
        <v>45890</v>
      </c>
      <c r="K196" s="33" t="n">
        <v>1454</v>
      </c>
      <c r="L196" s="33"/>
      <c r="M196" s="33"/>
      <c r="N196" s="33"/>
      <c r="O196" s="33" t="n">
        <v>918</v>
      </c>
      <c r="P196" s="33"/>
      <c r="Q196" s="33"/>
      <c r="R196" s="33" t="n">
        <v>1580</v>
      </c>
      <c r="S196" s="33"/>
      <c r="T196" s="33"/>
      <c r="U196" s="33"/>
      <c r="V196" s="33" t="n">
        <v>1444</v>
      </c>
      <c r="W196" s="33"/>
      <c r="X196" s="33"/>
      <c r="Y196" s="33" t="n">
        <v>946</v>
      </c>
      <c r="Z196" s="33"/>
      <c r="AA196" s="34" t="n">
        <f aca="false">SUM(K196:Z196)</f>
        <v>6342</v>
      </c>
      <c r="AB196" s="35" t="n">
        <f aca="false">SUM(AA196/H196)</f>
        <v>3391.44385026738</v>
      </c>
      <c r="AC196" s="36" t="n">
        <f aca="false">AB196/$AB$2</f>
        <v>226.096256684492</v>
      </c>
    </row>
    <row r="197" customFormat="false" ht="19.5" hidden="false" customHeight="true" outlineLevel="0" collapsed="false">
      <c r="A197" s="50" t="s">
        <v>83</v>
      </c>
      <c r="B197" s="38" t="s">
        <v>84</v>
      </c>
      <c r="C197" s="25" t="n">
        <v>203</v>
      </c>
      <c r="D197" s="26" t="s">
        <v>141</v>
      </c>
      <c r="E197" s="27" t="s">
        <v>32</v>
      </c>
      <c r="F197" s="28" t="s">
        <v>33</v>
      </c>
      <c r="G197" s="29" t="s">
        <v>129</v>
      </c>
      <c r="H197" s="30" t="n">
        <v>1.6</v>
      </c>
      <c r="I197" s="31" t="s">
        <v>22</v>
      </c>
      <c r="J197" s="32" t="n">
        <v>45907</v>
      </c>
      <c r="K197" s="33"/>
      <c r="L197" s="33"/>
      <c r="M197" s="33"/>
      <c r="N197" s="33"/>
      <c r="O197" s="33" t="n">
        <v>2488</v>
      </c>
      <c r="P197" s="33"/>
      <c r="Q197" s="33"/>
      <c r="R197" s="33" t="n">
        <v>4784</v>
      </c>
      <c r="S197" s="33"/>
      <c r="T197" s="33"/>
      <c r="U197" s="33" t="n">
        <v>2384</v>
      </c>
      <c r="V197" s="33" t="n">
        <v>3422</v>
      </c>
      <c r="W197" s="33"/>
      <c r="X197" s="33"/>
      <c r="Y197" s="33" t="n">
        <v>3936</v>
      </c>
      <c r="Z197" s="33"/>
      <c r="AA197" s="34" t="n">
        <f aca="false">SUM(K197:Z197)</f>
        <v>17014</v>
      </c>
      <c r="AB197" s="35" t="n">
        <f aca="false">SUM(AA197/H197)</f>
        <v>10633.75</v>
      </c>
      <c r="AC197" s="36" t="n">
        <f aca="false">AB197/$AB$2</f>
        <v>708.916666666667</v>
      </c>
    </row>
    <row r="198" customFormat="false" ht="19.5" hidden="false" customHeight="true" outlineLevel="0" collapsed="false">
      <c r="A198" s="44" t="s">
        <v>56</v>
      </c>
      <c r="B198" s="38" t="s">
        <v>17</v>
      </c>
      <c r="C198" s="25" t="n">
        <v>704</v>
      </c>
      <c r="D198" s="26" t="s">
        <v>147</v>
      </c>
      <c r="E198" s="27" t="s">
        <v>173</v>
      </c>
      <c r="F198" s="28" t="s">
        <v>87</v>
      </c>
      <c r="G198" s="29" t="n">
        <v>6</v>
      </c>
      <c r="H198" s="30" t="n">
        <v>1.5</v>
      </c>
      <c r="I198" s="31" t="s">
        <v>22</v>
      </c>
      <c r="J198" s="32" t="n">
        <v>45899</v>
      </c>
      <c r="K198" s="33"/>
      <c r="L198" s="33"/>
      <c r="M198" s="33"/>
      <c r="N198" s="33" t="n">
        <v>3643</v>
      </c>
      <c r="O198" s="33"/>
      <c r="P198" s="33"/>
      <c r="Q198" s="33"/>
      <c r="R198" s="33"/>
      <c r="S198" s="33"/>
      <c r="T198" s="33" t="n">
        <v>4271</v>
      </c>
      <c r="U198" s="33"/>
      <c r="V198" s="33" t="n">
        <v>247</v>
      </c>
      <c r="W198" s="33"/>
      <c r="X198" s="33" t="n">
        <v>2772</v>
      </c>
      <c r="Y198" s="33"/>
      <c r="Z198" s="33"/>
      <c r="AA198" s="34" t="n">
        <f aca="false">SUM(K198:Z198)</f>
        <v>10933</v>
      </c>
      <c r="AB198" s="35" t="n">
        <f aca="false">SUM(AA198/H198)</f>
        <v>7288.66666666667</v>
      </c>
      <c r="AC198" s="36" t="n">
        <f aca="false">AB198/$AB$2</f>
        <v>485.911111111111</v>
      </c>
    </row>
    <row r="199" customFormat="false" ht="19.5" hidden="false" customHeight="true" outlineLevel="0" collapsed="false">
      <c r="A199" s="46" t="s">
        <v>60</v>
      </c>
      <c r="B199" s="38" t="s">
        <v>17</v>
      </c>
      <c r="C199" s="25" t="n">
        <v>604</v>
      </c>
      <c r="D199" s="26" t="s">
        <v>163</v>
      </c>
      <c r="E199" s="27" t="s">
        <v>164</v>
      </c>
      <c r="F199" s="28" t="s">
        <v>87</v>
      </c>
      <c r="G199" s="29" t="n">
        <v>12</v>
      </c>
      <c r="H199" s="30" t="n">
        <v>1</v>
      </c>
      <c r="I199" s="31" t="s">
        <v>22</v>
      </c>
      <c r="J199" s="32" t="n">
        <v>45931</v>
      </c>
      <c r="K199" s="33"/>
      <c r="L199" s="33"/>
      <c r="M199" s="33"/>
      <c r="N199" s="33"/>
      <c r="O199" s="33"/>
      <c r="P199" s="33"/>
      <c r="Q199" s="33" t="n">
        <v>1990</v>
      </c>
      <c r="R199" s="33" t="n">
        <v>2570</v>
      </c>
      <c r="S199" s="33"/>
      <c r="T199" s="33"/>
      <c r="U199" s="33"/>
      <c r="V199" s="33"/>
      <c r="W199" s="33"/>
      <c r="X199" s="33"/>
      <c r="Y199" s="33"/>
      <c r="Z199" s="33"/>
      <c r="AA199" s="34" t="n">
        <f aca="false">SUM(K199:Z199)</f>
        <v>4560</v>
      </c>
      <c r="AB199" s="35" t="n">
        <f aca="false">SUM(AA199/H199)</f>
        <v>4560</v>
      </c>
      <c r="AC199" s="36" t="n">
        <f aca="false">AB199/$AB$2</f>
        <v>304</v>
      </c>
    </row>
    <row r="200" customFormat="false" ht="19.5" hidden="false" customHeight="true" outlineLevel="0" collapsed="false">
      <c r="A200" s="50" t="s">
        <v>83</v>
      </c>
      <c r="B200" s="38" t="s">
        <v>84</v>
      </c>
      <c r="C200" s="25" t="n">
        <v>204</v>
      </c>
      <c r="D200" s="26" t="s">
        <v>85</v>
      </c>
      <c r="E200" s="27" t="s">
        <v>131</v>
      </c>
      <c r="F200" s="28" t="s">
        <v>20</v>
      </c>
      <c r="G200" s="29" t="n">
        <v>8</v>
      </c>
      <c r="H200" s="30" t="n">
        <v>1.3</v>
      </c>
      <c r="I200" s="41" t="s">
        <v>34</v>
      </c>
      <c r="J200" s="32" t="n">
        <v>45801</v>
      </c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4" t="n">
        <f aca="false">SUM(K200:Z200)</f>
        <v>0</v>
      </c>
      <c r="AB200" s="35" t="n">
        <f aca="false">SUM(AA200/H200)</f>
        <v>0</v>
      </c>
      <c r="AC200" s="36" t="n">
        <f aca="false">AB200/$AB$2</f>
        <v>0</v>
      </c>
    </row>
    <row r="201" customFormat="false" ht="19.5" hidden="false" customHeight="true" outlineLevel="0" collapsed="false">
      <c r="A201" s="46" t="s">
        <v>60</v>
      </c>
      <c r="B201" s="38" t="s">
        <v>17</v>
      </c>
      <c r="C201" s="25" t="n">
        <v>604</v>
      </c>
      <c r="D201" s="26" t="s">
        <v>163</v>
      </c>
      <c r="E201" s="27" t="s">
        <v>184</v>
      </c>
      <c r="F201" s="28" t="s">
        <v>87</v>
      </c>
      <c r="G201" s="29" t="n">
        <v>13</v>
      </c>
      <c r="H201" s="30" t="n">
        <v>1</v>
      </c>
      <c r="I201" s="31" t="s">
        <v>22</v>
      </c>
      <c r="J201" s="32" t="n">
        <v>45899</v>
      </c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4" t="n">
        <f aca="false">SUM(K201:Z201)</f>
        <v>0</v>
      </c>
      <c r="AB201" s="35" t="n">
        <f aca="false">SUM(AA201/H201)</f>
        <v>0</v>
      </c>
      <c r="AC201" s="36" t="n">
        <f aca="false">AB201/$AB$2</f>
        <v>0</v>
      </c>
    </row>
    <row r="202" customFormat="false" ht="19.5" hidden="false" customHeight="true" outlineLevel="0" collapsed="false">
      <c r="A202" s="51" t="s">
        <v>96</v>
      </c>
      <c r="B202" s="38" t="s">
        <v>66</v>
      </c>
      <c r="C202" s="25" t="n">
        <v>910</v>
      </c>
      <c r="D202" s="26" t="s">
        <v>126</v>
      </c>
      <c r="E202" s="27" t="s">
        <v>95</v>
      </c>
      <c r="F202" s="28" t="s">
        <v>33</v>
      </c>
      <c r="G202" s="29" t="s">
        <v>44</v>
      </c>
      <c r="H202" s="30" t="n">
        <v>1.9</v>
      </c>
      <c r="I202" s="69" t="s">
        <v>22</v>
      </c>
      <c r="J202" s="32" t="n">
        <v>45894</v>
      </c>
      <c r="K202" s="33" t="n">
        <v>1339</v>
      </c>
      <c r="L202" s="33"/>
      <c r="M202" s="33" t="n">
        <v>1550</v>
      </c>
      <c r="N202" s="33" t="n">
        <v>1142</v>
      </c>
      <c r="O202" s="33"/>
      <c r="P202" s="33"/>
      <c r="Q202" s="33" t="n">
        <v>1944</v>
      </c>
      <c r="R202" s="33" t="n">
        <v>307</v>
      </c>
      <c r="S202" s="33" t="n">
        <v>2450</v>
      </c>
      <c r="T202" s="33" t="n">
        <v>2458</v>
      </c>
      <c r="U202" s="33"/>
      <c r="V202" s="33" t="n">
        <v>2225</v>
      </c>
      <c r="W202" s="33" t="n">
        <v>1774</v>
      </c>
      <c r="X202" s="33" t="n">
        <v>2052</v>
      </c>
      <c r="Y202" s="33"/>
      <c r="Z202" s="33"/>
      <c r="AA202" s="34" t="n">
        <f aca="false">SUM(K202:Z202)</f>
        <v>17241</v>
      </c>
      <c r="AB202" s="35" t="n">
        <f aca="false">SUM(AA202/H202)</f>
        <v>9074.21052631579</v>
      </c>
      <c r="AC202" s="36" t="n">
        <f aca="false">AB202/$AB$2</f>
        <v>604.947368421053</v>
      </c>
    </row>
    <row r="203" customFormat="false" ht="19.5" hidden="false" customHeight="true" outlineLevel="0" collapsed="false">
      <c r="A203" s="51" t="s">
        <v>96</v>
      </c>
      <c r="B203" s="38" t="s">
        <v>66</v>
      </c>
      <c r="C203" s="25" t="n">
        <v>910</v>
      </c>
      <c r="D203" s="26" t="s">
        <v>126</v>
      </c>
      <c r="E203" s="27" t="s">
        <v>108</v>
      </c>
      <c r="F203" s="28" t="s">
        <v>20</v>
      </c>
      <c r="G203" s="29" t="s">
        <v>76</v>
      </c>
      <c r="H203" s="30" t="n">
        <v>2.1</v>
      </c>
      <c r="I203" s="31" t="s">
        <v>22</v>
      </c>
      <c r="J203" s="32" t="n">
        <v>45907</v>
      </c>
      <c r="K203" s="33"/>
      <c r="L203" s="33" t="n">
        <v>1082</v>
      </c>
      <c r="M203" s="33" t="n">
        <v>886</v>
      </c>
      <c r="N203" s="33"/>
      <c r="O203" s="33" t="n">
        <v>1458</v>
      </c>
      <c r="P203" s="33" t="n">
        <v>1542</v>
      </c>
      <c r="Q203" s="33" t="n">
        <v>1298</v>
      </c>
      <c r="R203" s="33"/>
      <c r="S203" s="33" t="n">
        <v>1892</v>
      </c>
      <c r="T203" s="33" t="n">
        <v>846</v>
      </c>
      <c r="U203" s="33" t="n">
        <v>1240</v>
      </c>
      <c r="V203" s="33" t="n">
        <v>1269</v>
      </c>
      <c r="W203" s="33" t="n">
        <v>692</v>
      </c>
      <c r="X203" s="33" t="n">
        <v>982</v>
      </c>
      <c r="Y203" s="33" t="n">
        <v>594</v>
      </c>
      <c r="Z203" s="33"/>
      <c r="AA203" s="34" t="n">
        <f aca="false">SUM(K203:Z203)</f>
        <v>13781</v>
      </c>
      <c r="AB203" s="35" t="n">
        <f aca="false">SUM(AA203/H203)</f>
        <v>6562.38095238095</v>
      </c>
      <c r="AC203" s="36" t="n">
        <f aca="false">AB203/$AB$2</f>
        <v>437.492063492064</v>
      </c>
    </row>
    <row r="204" customFormat="false" ht="19.5" hidden="false" customHeight="true" outlineLevel="0" collapsed="false">
      <c r="A204" s="68" t="s">
        <v>155</v>
      </c>
      <c r="B204" s="38" t="s">
        <v>102</v>
      </c>
      <c r="C204" s="25" t="n">
        <v>1012</v>
      </c>
      <c r="D204" s="26" t="s">
        <v>156</v>
      </c>
      <c r="E204" s="27" t="s">
        <v>185</v>
      </c>
      <c r="F204" s="28" t="s">
        <v>48</v>
      </c>
      <c r="G204" s="29" t="s">
        <v>118</v>
      </c>
      <c r="H204" s="30" t="n">
        <v>2.71</v>
      </c>
      <c r="I204" s="69" t="s">
        <v>22</v>
      </c>
      <c r="J204" s="32" t="n">
        <v>45904</v>
      </c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4" t="n">
        <f aca="false">SUM(K204:Z204)</f>
        <v>0</v>
      </c>
      <c r="AB204" s="35" t="n">
        <f aca="false">SUM(AA204/H204)</f>
        <v>0</v>
      </c>
      <c r="AC204" s="36" t="n">
        <f aca="false">AB204/$AB$2</f>
        <v>0</v>
      </c>
    </row>
    <row r="205" customFormat="false" ht="19.5" hidden="false" customHeight="true" outlineLevel="0" collapsed="false">
      <c r="A205" s="39" t="s">
        <v>29</v>
      </c>
      <c r="B205" s="38" t="s">
        <v>30</v>
      </c>
      <c r="C205" s="25" t="n">
        <v>501</v>
      </c>
      <c r="D205" s="26" t="s">
        <v>116</v>
      </c>
      <c r="E205" s="27" t="s">
        <v>186</v>
      </c>
      <c r="F205" s="28" t="s">
        <v>20</v>
      </c>
      <c r="G205" s="29" t="n">
        <v>12</v>
      </c>
      <c r="H205" s="30" t="n">
        <v>0.65</v>
      </c>
      <c r="I205" s="31" t="s">
        <v>22</v>
      </c>
      <c r="J205" s="32" t="n">
        <v>45881</v>
      </c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4" t="n">
        <f aca="false">SUM(K205:Z205)</f>
        <v>0</v>
      </c>
      <c r="AB205" s="35" t="n">
        <f aca="false">SUM(AA205/H205)</f>
        <v>0</v>
      </c>
      <c r="AC205" s="36" t="n">
        <f aca="false">AB205/$AB$2</f>
        <v>0</v>
      </c>
    </row>
    <row r="206" customFormat="false" ht="19.5" hidden="false" customHeight="true" outlineLevel="0" collapsed="false">
      <c r="A206" s="24" t="s">
        <v>41</v>
      </c>
      <c r="B206" s="38" t="s">
        <v>42</v>
      </c>
      <c r="C206" s="25" t="n">
        <v>104</v>
      </c>
      <c r="D206" s="26" t="s">
        <v>94</v>
      </c>
      <c r="E206" s="27" t="s">
        <v>32</v>
      </c>
      <c r="F206" s="28" t="s">
        <v>33</v>
      </c>
      <c r="G206" s="29" t="s">
        <v>165</v>
      </c>
      <c r="H206" s="30" t="n">
        <v>2.52</v>
      </c>
      <c r="I206" s="31" t="s">
        <v>22</v>
      </c>
      <c r="J206" s="32" t="n">
        <v>45928</v>
      </c>
      <c r="K206" s="33"/>
      <c r="L206" s="33"/>
      <c r="M206" s="33" t="n">
        <v>3369</v>
      </c>
      <c r="N206" s="33"/>
      <c r="O206" s="33"/>
      <c r="P206" s="33" t="n">
        <v>3216</v>
      </c>
      <c r="Q206" s="33"/>
      <c r="R206" s="33"/>
      <c r="S206" s="33"/>
      <c r="T206" s="33" t="n">
        <v>5078</v>
      </c>
      <c r="U206" s="33" t="n">
        <v>2770</v>
      </c>
      <c r="V206" s="33"/>
      <c r="W206" s="33"/>
      <c r="X206" s="33" t="n">
        <v>4337</v>
      </c>
      <c r="Y206" s="33"/>
      <c r="Z206" s="33"/>
      <c r="AA206" s="34" t="n">
        <f aca="false">SUM(K206:Z206)</f>
        <v>18770</v>
      </c>
      <c r="AB206" s="35" t="n">
        <f aca="false">SUM(AA206/H206)</f>
        <v>7448.4126984127</v>
      </c>
      <c r="AC206" s="36" t="n">
        <f aca="false">AB206/$AB$2</f>
        <v>496.560846560847</v>
      </c>
    </row>
    <row r="207" customFormat="false" ht="19.5" hidden="false" customHeight="true" outlineLevel="0" collapsed="false">
      <c r="A207" s="51" t="s">
        <v>96</v>
      </c>
      <c r="B207" s="38" t="s">
        <v>66</v>
      </c>
      <c r="C207" s="25" t="n">
        <v>901</v>
      </c>
      <c r="D207" s="26" t="s">
        <v>97</v>
      </c>
      <c r="E207" s="27" t="s">
        <v>161</v>
      </c>
      <c r="F207" s="28" t="s">
        <v>87</v>
      </c>
      <c r="G207" s="29" t="n">
        <v>14</v>
      </c>
      <c r="H207" s="30" t="n">
        <v>1</v>
      </c>
      <c r="I207" s="31" t="s">
        <v>22</v>
      </c>
      <c r="J207" s="32" t="n">
        <v>45917</v>
      </c>
      <c r="K207" s="33"/>
      <c r="L207" s="33"/>
      <c r="M207" s="33"/>
      <c r="N207" s="33"/>
      <c r="O207" s="33"/>
      <c r="P207" s="33" t="n">
        <v>156</v>
      </c>
      <c r="Q207" s="33"/>
      <c r="R207" s="33"/>
      <c r="S207" s="33" t="n">
        <v>2556</v>
      </c>
      <c r="T207" s="33"/>
      <c r="U207" s="33"/>
      <c r="V207" s="33"/>
      <c r="W207" s="33"/>
      <c r="X207" s="33" t="n">
        <v>2952</v>
      </c>
      <c r="Y207" s="33" t="n">
        <v>3670</v>
      </c>
      <c r="Z207" s="33"/>
      <c r="AA207" s="34" t="n">
        <f aca="false">SUM(K207:Z207)</f>
        <v>9334</v>
      </c>
      <c r="AB207" s="35" t="n">
        <f aca="false">SUM(AA207/H207)</f>
        <v>9334</v>
      </c>
      <c r="AC207" s="36" t="n">
        <f aca="false">AB207/$AB$2</f>
        <v>622.266666666667</v>
      </c>
    </row>
    <row r="208" customFormat="false" ht="19.5" hidden="false" customHeight="true" outlineLevel="0" collapsed="false">
      <c r="A208" s="23" t="s">
        <v>16</v>
      </c>
      <c r="B208" s="38" t="s">
        <v>17</v>
      </c>
      <c r="C208" s="25" t="n">
        <v>701</v>
      </c>
      <c r="D208" s="26" t="s">
        <v>18</v>
      </c>
      <c r="E208" s="27" t="s">
        <v>173</v>
      </c>
      <c r="F208" s="28" t="s">
        <v>87</v>
      </c>
      <c r="G208" s="29" t="s">
        <v>110</v>
      </c>
      <c r="H208" s="30" t="n">
        <v>2.71</v>
      </c>
      <c r="I208" s="31" t="s">
        <v>22</v>
      </c>
      <c r="J208" s="32" t="n">
        <v>45925</v>
      </c>
      <c r="K208" s="33"/>
      <c r="L208" s="33"/>
      <c r="M208" s="33"/>
      <c r="N208" s="33"/>
      <c r="O208" s="33" t="n">
        <v>4202</v>
      </c>
      <c r="P208" s="33"/>
      <c r="Q208" s="33"/>
      <c r="R208" s="33"/>
      <c r="S208" s="33"/>
      <c r="T208" s="33"/>
      <c r="U208" s="33"/>
      <c r="V208" s="33" t="n">
        <v>3845</v>
      </c>
      <c r="W208" s="33"/>
      <c r="X208" s="33"/>
      <c r="Y208" s="33"/>
      <c r="Z208" s="33"/>
      <c r="AA208" s="34" t="n">
        <f aca="false">SUM(K208:Z208)</f>
        <v>8047</v>
      </c>
      <c r="AB208" s="35" t="n">
        <f aca="false">SUM(AA208/H208)</f>
        <v>2969.37269372694</v>
      </c>
      <c r="AC208" s="36" t="n">
        <f aca="false">AB208/$AB$2</f>
        <v>197.958179581796</v>
      </c>
    </row>
    <row r="209" customFormat="false" ht="19.5" hidden="false" customHeight="true" outlineLevel="0" collapsed="false">
      <c r="A209" s="65" t="s">
        <v>132</v>
      </c>
      <c r="B209" s="38" t="s">
        <v>17</v>
      </c>
      <c r="C209" s="25" t="n">
        <v>801</v>
      </c>
      <c r="D209" s="26" t="s">
        <v>133</v>
      </c>
      <c r="E209" s="27" t="s">
        <v>47</v>
      </c>
      <c r="F209" s="28" t="s">
        <v>48</v>
      </c>
      <c r="G209" s="29" t="s">
        <v>187</v>
      </c>
      <c r="H209" s="30" t="n">
        <v>1.86</v>
      </c>
      <c r="I209" s="31" t="s">
        <v>22</v>
      </c>
      <c r="J209" s="32" t="n">
        <v>45905</v>
      </c>
      <c r="K209" s="33"/>
      <c r="L209" s="33"/>
      <c r="M209" s="33" t="n">
        <v>3349</v>
      </c>
      <c r="N209" s="33"/>
      <c r="O209" s="33"/>
      <c r="P209" s="33" t="n">
        <v>2926</v>
      </c>
      <c r="Q209" s="33"/>
      <c r="R209" s="33"/>
      <c r="S209" s="33"/>
      <c r="T209" s="33" t="n">
        <v>1056</v>
      </c>
      <c r="U209" s="33"/>
      <c r="V209" s="33" t="n">
        <v>3639</v>
      </c>
      <c r="W209" s="33"/>
      <c r="X209" s="33"/>
      <c r="Y209" s="33"/>
      <c r="Z209" s="33"/>
      <c r="AA209" s="34" t="n">
        <f aca="false">SUM(K209:Z209)</f>
        <v>10970</v>
      </c>
      <c r="AB209" s="35" t="n">
        <f aca="false">SUM(AA209/H209)</f>
        <v>5897.84946236559</v>
      </c>
      <c r="AC209" s="36" t="n">
        <f aca="false">AB209/$AB$2</f>
        <v>393.189964157706</v>
      </c>
    </row>
    <row r="210" customFormat="false" ht="19.5" hidden="false" customHeight="true" outlineLevel="0" collapsed="false">
      <c r="A210" s="42" t="s">
        <v>45</v>
      </c>
      <c r="B210" s="38" t="s">
        <v>30</v>
      </c>
      <c r="C210" s="25" t="n">
        <v>303</v>
      </c>
      <c r="D210" s="26" t="s">
        <v>46</v>
      </c>
      <c r="E210" s="27" t="s">
        <v>19</v>
      </c>
      <c r="F210" s="28" t="s">
        <v>20</v>
      </c>
      <c r="G210" s="29" t="n">
        <v>3</v>
      </c>
      <c r="H210" s="30" t="n">
        <v>1</v>
      </c>
      <c r="I210" s="31" t="s">
        <v>22</v>
      </c>
      <c r="J210" s="32" t="n">
        <v>45908</v>
      </c>
      <c r="K210" s="33"/>
      <c r="L210" s="33"/>
      <c r="M210" s="33" t="n">
        <v>1874</v>
      </c>
      <c r="N210" s="33"/>
      <c r="O210" s="33"/>
      <c r="P210" s="33"/>
      <c r="Q210" s="33" t="n">
        <v>1417</v>
      </c>
      <c r="R210" s="33"/>
      <c r="S210" s="33"/>
      <c r="T210" s="33"/>
      <c r="U210" s="33"/>
      <c r="V210" s="33" t="n">
        <v>2993</v>
      </c>
      <c r="W210" s="33"/>
      <c r="X210" s="33"/>
      <c r="Y210" s="33"/>
      <c r="Z210" s="33"/>
      <c r="AA210" s="34" t="n">
        <f aca="false">SUM(K210:Z210)</f>
        <v>6284</v>
      </c>
      <c r="AB210" s="35" t="n">
        <f aca="false">SUM(AA210/H210)</f>
        <v>6284</v>
      </c>
      <c r="AC210" s="36" t="n">
        <f aca="false">AB210/$AB$2</f>
        <v>418.933333333333</v>
      </c>
    </row>
    <row r="211" customFormat="false" ht="19.5" hidden="false" customHeight="true" outlineLevel="0" collapsed="false">
      <c r="A211" s="46" t="s">
        <v>60</v>
      </c>
      <c r="B211" s="38" t="s">
        <v>17</v>
      </c>
      <c r="C211" s="25" t="n">
        <v>604</v>
      </c>
      <c r="D211" s="26" t="s">
        <v>163</v>
      </c>
      <c r="E211" s="27" t="s">
        <v>99</v>
      </c>
      <c r="F211" s="28" t="s">
        <v>87</v>
      </c>
      <c r="G211" s="29" t="n">
        <v>16</v>
      </c>
      <c r="H211" s="30" t="n">
        <v>1</v>
      </c>
      <c r="I211" s="31" t="s">
        <v>22</v>
      </c>
      <c r="J211" s="32" t="n">
        <v>45910</v>
      </c>
      <c r="K211" s="33" t="n">
        <v>4070</v>
      </c>
      <c r="L211" s="33"/>
      <c r="M211" s="33" t="n">
        <v>476</v>
      </c>
      <c r="N211" s="33"/>
      <c r="O211" s="33"/>
      <c r="P211" s="33"/>
      <c r="Q211" s="33"/>
      <c r="R211" s="33" t="n">
        <v>3857</v>
      </c>
      <c r="S211" s="33" t="n">
        <v>5660</v>
      </c>
      <c r="T211" s="33"/>
      <c r="U211" s="33"/>
      <c r="V211" s="33"/>
      <c r="W211" s="33"/>
      <c r="X211" s="33" t="n">
        <v>6034</v>
      </c>
      <c r="Y211" s="33"/>
      <c r="Z211" s="33"/>
      <c r="AA211" s="34" t="n">
        <f aca="false">SUM(K211:Z211)</f>
        <v>20097</v>
      </c>
      <c r="AB211" s="35" t="n">
        <f aca="false">SUM(AA211/H211)</f>
        <v>20097</v>
      </c>
      <c r="AC211" s="36" t="n">
        <f aca="false">AB211/$AB$2</f>
        <v>1339.8</v>
      </c>
    </row>
    <row r="212" customFormat="false" ht="19.5" hidden="false" customHeight="true" outlineLevel="0" collapsed="false">
      <c r="A212" s="24" t="s">
        <v>41</v>
      </c>
      <c r="B212" s="38" t="s">
        <v>42</v>
      </c>
      <c r="C212" s="25" t="n">
        <v>104</v>
      </c>
      <c r="D212" s="26" t="s">
        <v>94</v>
      </c>
      <c r="E212" s="27" t="s">
        <v>23</v>
      </c>
      <c r="F212" s="28" t="s">
        <v>20</v>
      </c>
      <c r="G212" s="29" t="s">
        <v>121</v>
      </c>
      <c r="H212" s="30" t="n">
        <v>2.24</v>
      </c>
      <c r="I212" s="31" t="s">
        <v>22</v>
      </c>
      <c r="J212" s="32" t="n">
        <v>45915</v>
      </c>
      <c r="K212" s="33"/>
      <c r="L212" s="33"/>
      <c r="M212" s="33"/>
      <c r="N212" s="33" t="n">
        <v>1927</v>
      </c>
      <c r="O212" s="33"/>
      <c r="P212" s="33"/>
      <c r="Q212" s="33" t="n">
        <v>2658</v>
      </c>
      <c r="R212" s="33"/>
      <c r="S212" s="33"/>
      <c r="T212" s="33"/>
      <c r="U212" s="33" t="n">
        <v>4717</v>
      </c>
      <c r="V212" s="33" t="n">
        <v>862</v>
      </c>
      <c r="W212" s="33"/>
      <c r="X212" s="33" t="n">
        <v>2480</v>
      </c>
      <c r="Y212" s="33"/>
      <c r="Z212" s="33"/>
      <c r="AA212" s="34" t="n">
        <f aca="false">SUM(K212:Z212)</f>
        <v>12644</v>
      </c>
      <c r="AB212" s="35" t="n">
        <f aca="false">SUM(AA212/H212)</f>
        <v>5644.64285714286</v>
      </c>
      <c r="AC212" s="36" t="n">
        <f aca="false">AB212/$AB$2</f>
        <v>376.309523809524</v>
      </c>
    </row>
    <row r="213" customFormat="false" ht="19.5" hidden="false" customHeight="true" outlineLevel="0" collapsed="false">
      <c r="A213" s="24" t="s">
        <v>41</v>
      </c>
      <c r="B213" s="38" t="s">
        <v>42</v>
      </c>
      <c r="C213" s="25" t="n">
        <v>103</v>
      </c>
      <c r="D213" s="26" t="s">
        <v>124</v>
      </c>
      <c r="E213" s="27" t="s">
        <v>188</v>
      </c>
      <c r="F213" s="28" t="s">
        <v>87</v>
      </c>
      <c r="G213" s="29" t="n">
        <v>10</v>
      </c>
      <c r="H213" s="30" t="n">
        <v>1</v>
      </c>
      <c r="I213" s="31" t="s">
        <v>22</v>
      </c>
      <c r="J213" s="32" t="n">
        <v>45892</v>
      </c>
      <c r="K213" s="33"/>
      <c r="L213" s="33" t="n">
        <v>2039</v>
      </c>
      <c r="M213" s="33"/>
      <c r="N213" s="33"/>
      <c r="O213" s="33"/>
      <c r="P213" s="33" t="n">
        <v>907</v>
      </c>
      <c r="Q213" s="33" t="n">
        <v>5601</v>
      </c>
      <c r="R213" s="33"/>
      <c r="S213" s="33"/>
      <c r="T213" s="33"/>
      <c r="U213" s="33" t="n">
        <v>3120</v>
      </c>
      <c r="V213" s="33" t="n">
        <v>3832</v>
      </c>
      <c r="W213" s="33"/>
      <c r="X213" s="33"/>
      <c r="Y213" s="33" t="n">
        <v>5172</v>
      </c>
      <c r="Z213" s="33"/>
      <c r="AA213" s="34" t="n">
        <f aca="false">SUM(K213:Z213)</f>
        <v>20671</v>
      </c>
      <c r="AB213" s="35" t="n">
        <f aca="false">SUM(AA213/H213)</f>
        <v>20671</v>
      </c>
      <c r="AC213" s="36" t="n">
        <f aca="false">AB213/$AB$2</f>
        <v>1378.06666666667</v>
      </c>
    </row>
    <row r="214" customFormat="false" ht="19.5" hidden="false" customHeight="true" outlineLevel="0" collapsed="false">
      <c r="A214" s="65" t="s">
        <v>132</v>
      </c>
      <c r="B214" s="38" t="s">
        <v>17</v>
      </c>
      <c r="C214" s="25" t="n">
        <v>801</v>
      </c>
      <c r="D214" s="26" t="s">
        <v>133</v>
      </c>
      <c r="E214" s="27" t="s">
        <v>32</v>
      </c>
      <c r="F214" s="28" t="s">
        <v>33</v>
      </c>
      <c r="G214" s="29" t="s">
        <v>189</v>
      </c>
      <c r="H214" s="30" t="n">
        <v>1.86</v>
      </c>
      <c r="I214" s="31" t="s">
        <v>22</v>
      </c>
      <c r="J214" s="32" t="n">
        <v>45936</v>
      </c>
      <c r="K214" s="33"/>
      <c r="L214" s="33" t="n">
        <v>324</v>
      </c>
      <c r="M214" s="33"/>
      <c r="N214" s="33" t="n">
        <v>1938</v>
      </c>
      <c r="O214" s="33"/>
      <c r="P214" s="33" t="n">
        <v>2525</v>
      </c>
      <c r="Q214" s="33"/>
      <c r="R214" s="33"/>
      <c r="S214" s="33"/>
      <c r="T214" s="33"/>
      <c r="U214" s="33" t="n">
        <v>4364</v>
      </c>
      <c r="V214" s="33"/>
      <c r="W214" s="33"/>
      <c r="X214" s="33"/>
      <c r="Y214" s="33"/>
      <c r="Z214" s="33"/>
      <c r="AA214" s="34" t="n">
        <f aca="false">SUM(K214:Z214)</f>
        <v>9151</v>
      </c>
      <c r="AB214" s="35" t="n">
        <f aca="false">SUM(AA214/H214)</f>
        <v>4919.89247311828</v>
      </c>
      <c r="AC214" s="36" t="n">
        <f aca="false">AB214/$AB$2</f>
        <v>327.992831541219</v>
      </c>
    </row>
    <row r="215" customFormat="false" ht="19.5" hidden="false" customHeight="true" outlineLevel="0" collapsed="false">
      <c r="A215" s="46" t="s">
        <v>60</v>
      </c>
      <c r="B215" s="38" t="s">
        <v>17</v>
      </c>
      <c r="C215" s="25" t="n">
        <v>703</v>
      </c>
      <c r="D215" s="26" t="s">
        <v>149</v>
      </c>
      <c r="E215" s="27" t="s">
        <v>19</v>
      </c>
      <c r="F215" s="28" t="s">
        <v>20</v>
      </c>
      <c r="G215" s="29" t="s">
        <v>81</v>
      </c>
      <c r="H215" s="30" t="n">
        <v>3</v>
      </c>
      <c r="I215" s="31" t="s">
        <v>22</v>
      </c>
      <c r="J215" s="32" t="n">
        <v>45916</v>
      </c>
      <c r="K215" s="33" t="n">
        <v>2053</v>
      </c>
      <c r="L215" s="33" t="n">
        <v>2713</v>
      </c>
      <c r="M215" s="33" t="n">
        <v>1786</v>
      </c>
      <c r="N215" s="33" t="n">
        <v>1744</v>
      </c>
      <c r="O215" s="33"/>
      <c r="P215" s="33" t="n">
        <v>1464</v>
      </c>
      <c r="Q215" s="33" t="n">
        <v>2696</v>
      </c>
      <c r="R215" s="33" t="n">
        <v>1174</v>
      </c>
      <c r="S215" s="33"/>
      <c r="T215" s="33"/>
      <c r="U215" s="33" t="n">
        <v>2922</v>
      </c>
      <c r="V215" s="33" t="n">
        <v>2524</v>
      </c>
      <c r="W215" s="33"/>
      <c r="X215" s="33"/>
      <c r="Y215" s="33" t="n">
        <v>1496</v>
      </c>
      <c r="Z215" s="33"/>
      <c r="AA215" s="34" t="n">
        <f aca="false">SUM(K215:Z215)</f>
        <v>20572</v>
      </c>
      <c r="AB215" s="35" t="n">
        <f aca="false">SUM(AA215/H215)</f>
        <v>6857.33333333333</v>
      </c>
      <c r="AC215" s="36" t="n">
        <f aca="false">AB215/$AB$2</f>
        <v>457.155555555556</v>
      </c>
    </row>
    <row r="216" customFormat="false" ht="19.5" hidden="false" customHeight="true" outlineLevel="0" collapsed="false">
      <c r="A216" s="46" t="s">
        <v>60</v>
      </c>
      <c r="B216" s="38" t="s">
        <v>17</v>
      </c>
      <c r="C216" s="25" t="n">
        <v>802</v>
      </c>
      <c r="D216" s="26" t="s">
        <v>61</v>
      </c>
      <c r="E216" s="27" t="s">
        <v>32</v>
      </c>
      <c r="F216" s="28" t="s">
        <v>33</v>
      </c>
      <c r="G216" s="29" t="n">
        <v>0</v>
      </c>
      <c r="H216" s="30" t="n">
        <v>0.8</v>
      </c>
      <c r="I216" s="31" t="s">
        <v>22</v>
      </c>
      <c r="J216" s="32" t="n">
        <v>45909</v>
      </c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4" t="n">
        <f aca="false">SUM(K216:Z216)</f>
        <v>0</v>
      </c>
      <c r="AB216" s="35" t="n">
        <f aca="false">SUM(AA216/H216)</f>
        <v>0</v>
      </c>
      <c r="AC216" s="36" t="n">
        <f aca="false">AB216/$AB$2</f>
        <v>0</v>
      </c>
    </row>
    <row r="217" customFormat="false" ht="19.5" hidden="false" customHeight="true" outlineLevel="0" collapsed="false">
      <c r="A217" s="53" t="s">
        <v>105</v>
      </c>
      <c r="B217" s="38" t="s">
        <v>78</v>
      </c>
      <c r="C217" s="25" t="n">
        <v>902</v>
      </c>
      <c r="D217" s="26" t="s">
        <v>106</v>
      </c>
      <c r="E217" s="27" t="s">
        <v>47</v>
      </c>
      <c r="F217" s="28" t="s">
        <v>48</v>
      </c>
      <c r="G217" s="29" t="s">
        <v>121</v>
      </c>
      <c r="H217" s="30" t="n">
        <v>2.5</v>
      </c>
      <c r="I217" s="31" t="s">
        <v>22</v>
      </c>
      <c r="J217" s="32" t="n">
        <v>45948</v>
      </c>
      <c r="K217" s="33" t="n">
        <v>6110</v>
      </c>
      <c r="L217" s="33"/>
      <c r="M217" s="33"/>
      <c r="N217" s="33" t="n">
        <v>5286</v>
      </c>
      <c r="O217" s="33"/>
      <c r="P217" s="33"/>
      <c r="Q217" s="33"/>
      <c r="R217" s="33" t="n">
        <v>7904</v>
      </c>
      <c r="S217" s="33"/>
      <c r="T217" s="33"/>
      <c r="U217" s="33"/>
      <c r="V217" s="33"/>
      <c r="W217" s="33" t="n">
        <v>11324</v>
      </c>
      <c r="X217" s="33"/>
      <c r="Y217" s="33"/>
      <c r="Z217" s="33"/>
      <c r="AA217" s="34" t="n">
        <f aca="false">SUM(K217:Z217)</f>
        <v>30624</v>
      </c>
      <c r="AB217" s="35" t="n">
        <f aca="false">SUM(AA217/H217)</f>
        <v>12249.6</v>
      </c>
      <c r="AC217" s="36" t="n">
        <f aca="false">AB217/$AB$2</f>
        <v>816.64</v>
      </c>
    </row>
    <row r="218" customFormat="false" ht="19.5" hidden="false" customHeight="true" outlineLevel="0" collapsed="false">
      <c r="A218" s="53" t="s">
        <v>105</v>
      </c>
      <c r="B218" s="38" t="s">
        <v>78</v>
      </c>
      <c r="C218" s="25" t="n">
        <v>902</v>
      </c>
      <c r="D218" s="26" t="s">
        <v>106</v>
      </c>
      <c r="E218" s="27" t="s">
        <v>95</v>
      </c>
      <c r="F218" s="28" t="s">
        <v>33</v>
      </c>
      <c r="G218" s="29" t="n">
        <v>1</v>
      </c>
      <c r="H218" s="30" t="n">
        <v>1</v>
      </c>
      <c r="I218" s="31" t="s">
        <v>22</v>
      </c>
      <c r="J218" s="32" t="n">
        <v>45953</v>
      </c>
      <c r="K218" s="33"/>
      <c r="L218" s="33"/>
      <c r="M218" s="33" t="n">
        <v>2474</v>
      </c>
      <c r="N218" s="33"/>
      <c r="O218" s="33"/>
      <c r="P218" s="33"/>
      <c r="Q218" s="33"/>
      <c r="R218" s="33"/>
      <c r="S218" s="33"/>
      <c r="T218" s="33"/>
      <c r="U218" s="33" t="n">
        <v>5636</v>
      </c>
      <c r="V218" s="33"/>
      <c r="W218" s="33"/>
      <c r="X218" s="33"/>
      <c r="Y218" s="33"/>
      <c r="Z218" s="33"/>
      <c r="AA218" s="34" t="n">
        <f aca="false">SUM(K218:Z218)</f>
        <v>8110</v>
      </c>
      <c r="AB218" s="35" t="n">
        <f aca="false">SUM(AA218/H218)</f>
        <v>8110</v>
      </c>
      <c r="AC218" s="36" t="n">
        <f aca="false">AB218/$AB$2</f>
        <v>540.666666666667</v>
      </c>
    </row>
    <row r="219" customFormat="false" ht="19.5" hidden="false" customHeight="true" outlineLevel="0" collapsed="false">
      <c r="A219" s="50" t="s">
        <v>83</v>
      </c>
      <c r="B219" s="38" t="s">
        <v>84</v>
      </c>
      <c r="C219" s="25" t="n">
        <v>203</v>
      </c>
      <c r="D219" s="26" t="s">
        <v>141</v>
      </c>
      <c r="E219" s="27" t="s">
        <v>80</v>
      </c>
      <c r="F219" s="28" t="s">
        <v>20</v>
      </c>
      <c r="G219" s="29" t="s">
        <v>176</v>
      </c>
      <c r="H219" s="30" t="n">
        <v>2.3</v>
      </c>
      <c r="I219" s="41" t="s">
        <v>34</v>
      </c>
      <c r="J219" s="32" t="n">
        <v>45800</v>
      </c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4" t="n">
        <f aca="false">SUM(K219:Z219)</f>
        <v>0</v>
      </c>
      <c r="AB219" s="35" t="n">
        <f aca="false">SUM(AA219/H219)</f>
        <v>0</v>
      </c>
      <c r="AC219" s="36" t="n">
        <f aca="false">AB219/$AB$2</f>
        <v>0</v>
      </c>
    </row>
    <row r="220" customFormat="false" ht="19.5" hidden="false" customHeight="true" outlineLevel="0" collapsed="false">
      <c r="A220" s="50" t="s">
        <v>83</v>
      </c>
      <c r="B220" s="38" t="s">
        <v>84</v>
      </c>
      <c r="C220" s="25" t="n">
        <v>203</v>
      </c>
      <c r="D220" s="26" t="s">
        <v>141</v>
      </c>
      <c r="E220" s="27" t="s">
        <v>128</v>
      </c>
      <c r="F220" s="28" t="s">
        <v>20</v>
      </c>
      <c r="G220" s="29" t="n">
        <v>0</v>
      </c>
      <c r="H220" s="30" t="n">
        <v>0.9</v>
      </c>
      <c r="I220" s="41" t="s">
        <v>34</v>
      </c>
      <c r="J220" s="32" t="n">
        <v>45710</v>
      </c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4" t="n">
        <f aca="false">SUM(K220:Z220)</f>
        <v>0</v>
      </c>
      <c r="AB220" s="35" t="n">
        <f aca="false">SUM(AA220/H220)</f>
        <v>0</v>
      </c>
      <c r="AC220" s="36" t="n">
        <f aca="false">AB220/$AB$2</f>
        <v>0</v>
      </c>
    </row>
    <row r="221" customFormat="false" ht="19.5" hidden="false" customHeight="true" outlineLevel="0" collapsed="false">
      <c r="A221" s="50" t="s">
        <v>83</v>
      </c>
      <c r="B221" s="38" t="s">
        <v>84</v>
      </c>
      <c r="C221" s="25" t="n">
        <v>203</v>
      </c>
      <c r="D221" s="26" t="s">
        <v>141</v>
      </c>
      <c r="E221" s="27" t="s">
        <v>32</v>
      </c>
      <c r="F221" s="28" t="s">
        <v>20</v>
      </c>
      <c r="G221" s="29" t="n">
        <v>20</v>
      </c>
      <c r="H221" s="30" t="n">
        <v>1.06</v>
      </c>
      <c r="I221" s="31" t="s">
        <v>39</v>
      </c>
      <c r="J221" s="32" t="n">
        <v>46068</v>
      </c>
      <c r="K221" s="33"/>
      <c r="L221" s="33"/>
      <c r="M221" s="33"/>
      <c r="N221" s="33" t="n">
        <v>464</v>
      </c>
      <c r="O221" s="33"/>
      <c r="P221" s="33" t="n">
        <v>831</v>
      </c>
      <c r="Q221" s="33"/>
      <c r="R221" s="33" t="n">
        <v>483</v>
      </c>
      <c r="S221" s="33"/>
      <c r="T221" s="33"/>
      <c r="U221" s="33"/>
      <c r="V221" s="33" t="n">
        <v>1872</v>
      </c>
      <c r="W221" s="33"/>
      <c r="X221" s="33"/>
      <c r="Y221" s="33"/>
      <c r="Z221" s="33"/>
      <c r="AA221" s="34" t="n">
        <f aca="false">SUM(K221:Z221)</f>
        <v>3650</v>
      </c>
      <c r="AB221" s="35" t="n">
        <f aca="false">SUM(AA221/H221)</f>
        <v>3443.39622641509</v>
      </c>
      <c r="AC221" s="36" t="n">
        <f aca="false">AB221/$AB$2</f>
        <v>229.559748427673</v>
      </c>
    </row>
    <row r="222" customFormat="false" ht="19.5" hidden="false" customHeight="true" outlineLevel="0" collapsed="false">
      <c r="A222" s="47" t="s">
        <v>65</v>
      </c>
      <c r="B222" s="38" t="s">
        <v>66</v>
      </c>
      <c r="C222" s="25" t="n">
        <v>903</v>
      </c>
      <c r="D222" s="26" t="s">
        <v>67</v>
      </c>
      <c r="E222" s="27" t="s">
        <v>171</v>
      </c>
      <c r="F222" s="28" t="s">
        <v>48</v>
      </c>
      <c r="G222" s="29" t="s">
        <v>121</v>
      </c>
      <c r="H222" s="30" t="n">
        <v>2</v>
      </c>
      <c r="I222" s="31" t="s">
        <v>22</v>
      </c>
      <c r="J222" s="32" t="n">
        <v>45958</v>
      </c>
      <c r="K222" s="33"/>
      <c r="L222" s="33"/>
      <c r="M222" s="33" t="n">
        <v>7193</v>
      </c>
      <c r="N222" s="33"/>
      <c r="O222" s="33"/>
      <c r="P222" s="33"/>
      <c r="Q222" s="33" t="n">
        <v>9670</v>
      </c>
      <c r="R222" s="33"/>
      <c r="S222" s="33"/>
      <c r="T222" s="33"/>
      <c r="U222" s="33"/>
      <c r="V222" s="33" t="n">
        <v>11060</v>
      </c>
      <c r="W222" s="33"/>
      <c r="X222" s="33"/>
      <c r="Y222" s="33"/>
      <c r="Z222" s="33"/>
      <c r="AA222" s="34" t="n">
        <f aca="false">SUM(K222:Z222)</f>
        <v>27923</v>
      </c>
      <c r="AB222" s="35" t="n">
        <f aca="false">SUM(AA222/H222)</f>
        <v>13961.5</v>
      </c>
      <c r="AC222" s="36" t="n">
        <f aca="false">AB222/$AB$2</f>
        <v>930.766666666667</v>
      </c>
    </row>
    <row r="223" customFormat="false" ht="19.5" hidden="false" customHeight="true" outlineLevel="0" collapsed="false">
      <c r="A223" s="46" t="s">
        <v>60</v>
      </c>
      <c r="B223" s="38" t="s">
        <v>78</v>
      </c>
      <c r="C223" s="25" t="n">
        <v>907</v>
      </c>
      <c r="D223" s="26" t="s">
        <v>109</v>
      </c>
      <c r="E223" s="27" t="s">
        <v>38</v>
      </c>
      <c r="F223" s="28" t="s">
        <v>33</v>
      </c>
      <c r="G223" s="29" t="s">
        <v>134</v>
      </c>
      <c r="H223" s="30" t="n">
        <v>2.1</v>
      </c>
      <c r="I223" s="41" t="s">
        <v>34</v>
      </c>
      <c r="J223" s="32" t="n">
        <v>45740</v>
      </c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 t="n">
        <v>4633</v>
      </c>
      <c r="W223" s="33" t="n">
        <v>1760</v>
      </c>
      <c r="X223" s="33"/>
      <c r="Y223" s="33"/>
      <c r="Z223" s="33"/>
      <c r="AA223" s="34" t="n">
        <f aca="false">SUM(K223:Z223)</f>
        <v>6393</v>
      </c>
      <c r="AB223" s="35" t="n">
        <f aca="false">SUM(AA223/H223)</f>
        <v>3044.28571428571</v>
      </c>
      <c r="AC223" s="36" t="n">
        <f aca="false">AB223/$AB$2</f>
        <v>202.952380952381</v>
      </c>
    </row>
    <row r="224" customFormat="false" ht="19.5" hidden="false" customHeight="true" outlineLevel="0" collapsed="false">
      <c r="A224" s="49" t="s">
        <v>77</v>
      </c>
      <c r="B224" s="38" t="s">
        <v>78</v>
      </c>
      <c r="C224" s="25" t="n">
        <v>803</v>
      </c>
      <c r="D224" s="26" t="s">
        <v>79</v>
      </c>
      <c r="E224" s="27" t="s">
        <v>131</v>
      </c>
      <c r="F224" s="28" t="s">
        <v>20</v>
      </c>
      <c r="G224" s="29" t="n">
        <v>1</v>
      </c>
      <c r="H224" s="30" t="n">
        <v>0.75</v>
      </c>
      <c r="I224" s="41" t="s">
        <v>34</v>
      </c>
      <c r="J224" s="32" t="n">
        <v>45758</v>
      </c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4" t="n">
        <f aca="false">SUM(K224:Z224)</f>
        <v>0</v>
      </c>
      <c r="AB224" s="35" t="n">
        <f aca="false">SUM(AA224/H224)</f>
        <v>0</v>
      </c>
      <c r="AC224" s="36" t="n">
        <f aca="false">AB224/$AB$2</f>
        <v>0</v>
      </c>
    </row>
    <row r="225" customFormat="false" ht="19.5" hidden="false" customHeight="true" outlineLevel="0" collapsed="false">
      <c r="A225" s="24" t="s">
        <v>41</v>
      </c>
      <c r="B225" s="38" t="s">
        <v>42</v>
      </c>
      <c r="C225" s="25" t="n">
        <v>100</v>
      </c>
      <c r="D225" s="26" t="s">
        <v>43</v>
      </c>
      <c r="E225" s="27" t="s">
        <v>19</v>
      </c>
      <c r="F225" s="28" t="s">
        <v>20</v>
      </c>
      <c r="G225" s="29" t="n">
        <v>5</v>
      </c>
      <c r="H225" s="30" t="n">
        <v>1.4</v>
      </c>
      <c r="I225" s="31" t="s">
        <v>22</v>
      </c>
      <c r="J225" s="32" t="n">
        <v>45954</v>
      </c>
      <c r="K225" s="33"/>
      <c r="L225" s="33"/>
      <c r="M225" s="33"/>
      <c r="N225" s="33"/>
      <c r="O225" s="33"/>
      <c r="P225" s="33" t="n">
        <v>4810</v>
      </c>
      <c r="Q225" s="33"/>
      <c r="R225" s="33"/>
      <c r="S225" s="33"/>
      <c r="T225" s="33" t="n">
        <v>1952</v>
      </c>
      <c r="U225" s="33" t="n">
        <v>1925</v>
      </c>
      <c r="V225" s="33"/>
      <c r="W225" s="33"/>
      <c r="X225" s="33"/>
      <c r="Y225" s="33" t="n">
        <v>1200</v>
      </c>
      <c r="Z225" s="33"/>
      <c r="AA225" s="34" t="n">
        <f aca="false">SUM(K225:Z225)</f>
        <v>9887</v>
      </c>
      <c r="AB225" s="35" t="n">
        <f aca="false">SUM(AA225/H225)</f>
        <v>7062.14285714286</v>
      </c>
      <c r="AC225" s="36" t="n">
        <f aca="false">AB225/$AB$2</f>
        <v>470.809523809524</v>
      </c>
    </row>
    <row r="226" customFormat="false" ht="19.5" hidden="false" customHeight="true" outlineLevel="0" collapsed="false">
      <c r="A226" s="24" t="s">
        <v>41</v>
      </c>
      <c r="B226" s="38" t="s">
        <v>42</v>
      </c>
      <c r="C226" s="25" t="n">
        <v>104</v>
      </c>
      <c r="D226" s="26" t="s">
        <v>94</v>
      </c>
      <c r="E226" s="27" t="s">
        <v>32</v>
      </c>
      <c r="F226" s="28" t="s">
        <v>20</v>
      </c>
      <c r="G226" s="29" t="n">
        <v>0</v>
      </c>
      <c r="H226" s="30" t="n">
        <v>1.2</v>
      </c>
      <c r="I226" s="41" t="s">
        <v>34</v>
      </c>
      <c r="J226" s="32" t="n">
        <v>45783</v>
      </c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4" t="n">
        <f aca="false">SUM(K226:Z226)</f>
        <v>0</v>
      </c>
      <c r="AB226" s="35" t="n">
        <f aca="false">SUM(AA226/H226)</f>
        <v>0</v>
      </c>
      <c r="AC226" s="36" t="n">
        <f aca="false">AB226/$AB$2</f>
        <v>0</v>
      </c>
    </row>
    <row r="227" customFormat="false" ht="19.5" hidden="false" customHeight="true" outlineLevel="0" collapsed="false">
      <c r="A227" s="42" t="s">
        <v>45</v>
      </c>
      <c r="B227" s="38" t="s">
        <v>30</v>
      </c>
      <c r="C227" s="25" t="n">
        <v>305</v>
      </c>
      <c r="D227" s="26" t="s">
        <v>152</v>
      </c>
      <c r="E227" s="27" t="s">
        <v>190</v>
      </c>
      <c r="F227" s="28" t="s">
        <v>87</v>
      </c>
      <c r="G227" s="29" t="n">
        <v>4</v>
      </c>
      <c r="H227" s="30" t="n">
        <v>0.8</v>
      </c>
      <c r="I227" s="41" t="s">
        <v>39</v>
      </c>
      <c r="J227" s="32" t="n">
        <v>46046</v>
      </c>
      <c r="K227" s="33"/>
      <c r="L227" s="33"/>
      <c r="M227" s="33" t="n">
        <v>4626</v>
      </c>
      <c r="N227" s="33" t="n">
        <v>692</v>
      </c>
      <c r="O227" s="33"/>
      <c r="P227" s="33"/>
      <c r="Q227" s="33"/>
      <c r="R227" s="33" t="n">
        <v>1139</v>
      </c>
      <c r="S227" s="33"/>
      <c r="T227" s="33"/>
      <c r="U227" s="33" t="n">
        <v>4176</v>
      </c>
      <c r="V227" s="33"/>
      <c r="W227" s="33"/>
      <c r="X227" s="33" t="n">
        <v>2647</v>
      </c>
      <c r="Y227" s="33"/>
      <c r="Z227" s="33"/>
      <c r="AA227" s="34" t="n">
        <f aca="false">SUM(K227:Z227)</f>
        <v>13280</v>
      </c>
      <c r="AB227" s="35" t="n">
        <f aca="false">SUM(AA227/H227)</f>
        <v>16600</v>
      </c>
      <c r="AC227" s="36" t="n">
        <f aca="false">AB227/$AB$2</f>
        <v>1106.66666666667</v>
      </c>
    </row>
    <row r="228" customFormat="false" ht="19.5" hidden="false" customHeight="true" outlineLevel="0" collapsed="false">
      <c r="A228" s="39" t="s">
        <v>29</v>
      </c>
      <c r="B228" s="38" t="s">
        <v>30</v>
      </c>
      <c r="C228" s="25" t="n">
        <v>502</v>
      </c>
      <c r="D228" s="26" t="s">
        <v>31</v>
      </c>
      <c r="E228" s="27" t="s">
        <v>19</v>
      </c>
      <c r="F228" s="28" t="s">
        <v>20</v>
      </c>
      <c r="G228" s="29" t="s">
        <v>44</v>
      </c>
      <c r="H228" s="30" t="n">
        <v>1.76</v>
      </c>
      <c r="I228" s="31" t="s">
        <v>22</v>
      </c>
      <c r="J228" s="32" t="n">
        <v>45843</v>
      </c>
      <c r="K228" s="33"/>
      <c r="L228" s="33" t="n">
        <v>2802</v>
      </c>
      <c r="M228" s="33"/>
      <c r="N228" s="33"/>
      <c r="O228" s="33"/>
      <c r="P228" s="33" t="n">
        <v>2639</v>
      </c>
      <c r="Q228" s="33"/>
      <c r="R228" s="33"/>
      <c r="S228" s="33" t="n">
        <v>2227</v>
      </c>
      <c r="T228" s="33"/>
      <c r="U228" s="33"/>
      <c r="V228" s="33" t="n">
        <v>2454</v>
      </c>
      <c r="W228" s="33"/>
      <c r="X228" s="33"/>
      <c r="Y228" s="33"/>
      <c r="Z228" s="33"/>
      <c r="AA228" s="34" t="n">
        <f aca="false">SUM(K228:Z228)</f>
        <v>10122</v>
      </c>
      <c r="AB228" s="35" t="n">
        <f aca="false">SUM(AA228/H228)</f>
        <v>5751.13636363636</v>
      </c>
      <c r="AC228" s="36" t="n">
        <f aca="false">AB228/$AB$2</f>
        <v>383.409090909091</v>
      </c>
    </row>
    <row r="229" customFormat="false" ht="19.5" hidden="false" customHeight="true" outlineLevel="0" collapsed="false">
      <c r="A229" s="39" t="s">
        <v>29</v>
      </c>
      <c r="B229" s="38" t="s">
        <v>30</v>
      </c>
      <c r="C229" s="25" t="n">
        <v>502</v>
      </c>
      <c r="D229" s="26" t="s">
        <v>31</v>
      </c>
      <c r="E229" s="27" t="s">
        <v>35</v>
      </c>
      <c r="F229" s="28" t="s">
        <v>20</v>
      </c>
      <c r="G229" s="29" t="s">
        <v>28</v>
      </c>
      <c r="H229" s="30" t="n">
        <v>1.6</v>
      </c>
      <c r="I229" s="31" t="s">
        <v>22</v>
      </c>
      <c r="J229" s="32" t="n">
        <v>45840</v>
      </c>
      <c r="K229" s="33" t="n">
        <v>1600</v>
      </c>
      <c r="L229" s="33"/>
      <c r="M229" s="33" t="n">
        <v>1692</v>
      </c>
      <c r="N229" s="33"/>
      <c r="O229" s="33" t="n">
        <v>2184</v>
      </c>
      <c r="P229" s="33"/>
      <c r="Q229" s="33" t="n">
        <v>2882</v>
      </c>
      <c r="R229" s="33" t="n">
        <v>2113</v>
      </c>
      <c r="S229" s="33"/>
      <c r="T229" s="33" t="n">
        <v>2728</v>
      </c>
      <c r="U229" s="33" t="n">
        <v>1681</v>
      </c>
      <c r="V229" s="33"/>
      <c r="W229" s="33" t="n">
        <v>1834</v>
      </c>
      <c r="X229" s="33"/>
      <c r="Y229" s="33" t="n">
        <v>2156</v>
      </c>
      <c r="Z229" s="33"/>
      <c r="AA229" s="34" t="n">
        <f aca="false">SUM(K229:Z229)</f>
        <v>18870</v>
      </c>
      <c r="AB229" s="35" t="n">
        <f aca="false">SUM(AA229/H229)</f>
        <v>11793.75</v>
      </c>
      <c r="AC229" s="36" t="n">
        <f aca="false">AB229/$AB$2</f>
        <v>786.25</v>
      </c>
    </row>
    <row r="230" customFormat="false" ht="19.5" hidden="false" customHeight="true" outlineLevel="0" collapsed="false">
      <c r="A230" s="24" t="s">
        <v>41</v>
      </c>
      <c r="B230" s="38" t="s">
        <v>42</v>
      </c>
      <c r="C230" s="25" t="n">
        <v>104</v>
      </c>
      <c r="D230" s="26" t="s">
        <v>94</v>
      </c>
      <c r="E230" s="27" t="s">
        <v>19</v>
      </c>
      <c r="F230" s="28" t="s">
        <v>20</v>
      </c>
      <c r="G230" s="29" t="n">
        <v>8</v>
      </c>
      <c r="H230" s="30" t="n">
        <v>1.45</v>
      </c>
      <c r="I230" s="41" t="s">
        <v>34</v>
      </c>
      <c r="J230" s="32" t="n">
        <v>45813</v>
      </c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4" t="n">
        <f aca="false">SUM(K230:Z230)</f>
        <v>0</v>
      </c>
      <c r="AB230" s="35" t="n">
        <f aca="false">SUM(AA230/H230)</f>
        <v>0</v>
      </c>
      <c r="AC230" s="36" t="n">
        <f aca="false">AB230/$AB$2</f>
        <v>0</v>
      </c>
    </row>
    <row r="231" customFormat="false" ht="19.5" hidden="false" customHeight="true" outlineLevel="0" collapsed="false">
      <c r="A231" s="53" t="s">
        <v>105</v>
      </c>
      <c r="B231" s="38" t="s">
        <v>78</v>
      </c>
      <c r="C231" s="25" t="n">
        <v>908</v>
      </c>
      <c r="D231" s="26" t="s">
        <v>144</v>
      </c>
      <c r="E231" s="27" t="s">
        <v>32</v>
      </c>
      <c r="F231" s="28" t="s">
        <v>33</v>
      </c>
      <c r="G231" s="29" t="n">
        <v>6</v>
      </c>
      <c r="H231" s="30" t="n">
        <v>0.6</v>
      </c>
      <c r="I231" s="31" t="s">
        <v>22</v>
      </c>
      <c r="J231" s="32" t="n">
        <v>45848</v>
      </c>
      <c r="K231" s="33"/>
      <c r="L231" s="33"/>
      <c r="M231" s="33"/>
      <c r="N231" s="33"/>
      <c r="O231" s="33"/>
      <c r="P231" s="33" t="n">
        <v>1004</v>
      </c>
      <c r="Q231" s="33"/>
      <c r="R231" s="33"/>
      <c r="S231" s="33" t="n">
        <v>838</v>
      </c>
      <c r="T231" s="33" t="n">
        <v>2028</v>
      </c>
      <c r="U231" s="33"/>
      <c r="V231" s="33"/>
      <c r="W231" s="33"/>
      <c r="X231" s="33"/>
      <c r="Y231" s="33" t="n">
        <v>1238</v>
      </c>
      <c r="Z231" s="33"/>
      <c r="AA231" s="34" t="n">
        <f aca="false">SUM(K231:Z231)</f>
        <v>5108</v>
      </c>
      <c r="AB231" s="35" t="n">
        <f aca="false">SUM(AA231/H231)</f>
        <v>8513.33333333333</v>
      </c>
      <c r="AC231" s="36" t="n">
        <f aca="false">AB231/$AB$2</f>
        <v>567.555555555556</v>
      </c>
    </row>
    <row r="232" customFormat="false" ht="19.5" hidden="false" customHeight="true" outlineLevel="0" collapsed="false">
      <c r="A232" s="39" t="s">
        <v>29</v>
      </c>
      <c r="B232" s="38" t="s">
        <v>26</v>
      </c>
      <c r="C232" s="25" t="n">
        <v>404</v>
      </c>
      <c r="D232" s="26" t="s">
        <v>125</v>
      </c>
      <c r="E232" s="27" t="s">
        <v>74</v>
      </c>
      <c r="F232" s="28" t="s">
        <v>20</v>
      </c>
      <c r="G232" s="29" t="n">
        <v>3</v>
      </c>
      <c r="H232" s="30" t="n">
        <v>1.1</v>
      </c>
      <c r="I232" s="31" t="s">
        <v>22</v>
      </c>
      <c r="J232" s="32" t="n">
        <v>45857</v>
      </c>
      <c r="K232" s="33"/>
      <c r="L232" s="33"/>
      <c r="M232" s="33"/>
      <c r="N232" s="33"/>
      <c r="O232" s="33" t="n">
        <v>1306</v>
      </c>
      <c r="P232" s="33"/>
      <c r="Q232" s="33"/>
      <c r="R232" s="33" t="n">
        <v>620</v>
      </c>
      <c r="S232" s="33"/>
      <c r="T232" s="33"/>
      <c r="U232" s="33"/>
      <c r="V232" s="33"/>
      <c r="W232" s="33"/>
      <c r="X232" s="33"/>
      <c r="Y232" s="33"/>
      <c r="Z232" s="33"/>
      <c r="AA232" s="34" t="n">
        <f aca="false">SUM(K232:Z232)</f>
        <v>1926</v>
      </c>
      <c r="AB232" s="35" t="n">
        <f aca="false">SUM(AA232/H232)</f>
        <v>1750.90909090909</v>
      </c>
      <c r="AC232" s="36" t="n">
        <f aca="false">AB232/$AB$2</f>
        <v>116.727272727273</v>
      </c>
    </row>
    <row r="233" customFormat="false" ht="19.5" hidden="false" customHeight="true" outlineLevel="0" collapsed="false">
      <c r="A233" s="24" t="s">
        <v>41</v>
      </c>
      <c r="B233" s="38" t="s">
        <v>42</v>
      </c>
      <c r="C233" s="25" t="n">
        <v>104</v>
      </c>
      <c r="D233" s="26" t="s">
        <v>94</v>
      </c>
      <c r="E233" s="27" t="s">
        <v>32</v>
      </c>
      <c r="F233" s="28" t="s">
        <v>33</v>
      </c>
      <c r="G233" s="29" t="n">
        <v>5</v>
      </c>
      <c r="H233" s="30" t="n">
        <v>1.1</v>
      </c>
      <c r="I233" s="41" t="s">
        <v>34</v>
      </c>
      <c r="J233" s="32" t="n">
        <v>45812</v>
      </c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4" t="n">
        <f aca="false">SUM(K233:Z233)</f>
        <v>0</v>
      </c>
      <c r="AB233" s="35" t="n">
        <f aca="false">SUM(AA233/H233)</f>
        <v>0</v>
      </c>
      <c r="AC233" s="36" t="n">
        <f aca="false">AB233/$AB$2</f>
        <v>0</v>
      </c>
    </row>
    <row r="234" customFormat="false" ht="19.5" hidden="false" customHeight="true" outlineLevel="0" collapsed="false">
      <c r="A234" s="68" t="s">
        <v>155</v>
      </c>
      <c r="B234" s="38" t="s">
        <v>102</v>
      </c>
      <c r="C234" s="25" t="n">
        <v>1012</v>
      </c>
      <c r="D234" s="26" t="s">
        <v>156</v>
      </c>
      <c r="E234" s="27" t="s">
        <v>32</v>
      </c>
      <c r="F234" s="28" t="s">
        <v>33</v>
      </c>
      <c r="G234" s="29" t="s">
        <v>191</v>
      </c>
      <c r="H234" s="30" t="n">
        <v>2.56</v>
      </c>
      <c r="I234" s="31" t="s">
        <v>22</v>
      </c>
      <c r="J234" s="32" t="n">
        <v>45901</v>
      </c>
      <c r="K234" s="33" t="n">
        <v>1991</v>
      </c>
      <c r="L234" s="33"/>
      <c r="M234" s="33"/>
      <c r="N234" s="33"/>
      <c r="O234" s="33" t="n">
        <v>2500</v>
      </c>
      <c r="P234" s="33" t="n">
        <v>3444</v>
      </c>
      <c r="Q234" s="33" t="n">
        <v>3079</v>
      </c>
      <c r="R234" s="33"/>
      <c r="S234" s="33"/>
      <c r="T234" s="33" t="n">
        <v>2862</v>
      </c>
      <c r="U234" s="33" t="n">
        <v>5472</v>
      </c>
      <c r="V234" s="33"/>
      <c r="W234" s="33"/>
      <c r="X234" s="33"/>
      <c r="Y234" s="33" t="n">
        <v>4561</v>
      </c>
      <c r="Z234" s="33"/>
      <c r="AA234" s="34" t="n">
        <f aca="false">SUM(K234:Z234)</f>
        <v>23909</v>
      </c>
      <c r="AB234" s="35" t="n">
        <f aca="false">SUM(AA234/H234)</f>
        <v>9339.453125</v>
      </c>
      <c r="AC234" s="36" t="n">
        <f aca="false">AB234/$AB$2</f>
        <v>622.630208333333</v>
      </c>
    </row>
    <row r="235" customFormat="false" ht="19.5" hidden="false" customHeight="true" outlineLevel="0" collapsed="false">
      <c r="A235" s="42" t="s">
        <v>45</v>
      </c>
      <c r="B235" s="38" t="s">
        <v>30</v>
      </c>
      <c r="C235" s="25" t="n">
        <v>305</v>
      </c>
      <c r="D235" s="26" t="s">
        <v>152</v>
      </c>
      <c r="E235" s="27" t="s">
        <v>86</v>
      </c>
      <c r="F235" s="28" t="s">
        <v>87</v>
      </c>
      <c r="G235" s="29" t="n">
        <v>3</v>
      </c>
      <c r="H235" s="30" t="n">
        <v>1</v>
      </c>
      <c r="I235" s="31" t="s">
        <v>22</v>
      </c>
      <c r="J235" s="32" t="n">
        <v>45868</v>
      </c>
      <c r="K235" s="33"/>
      <c r="L235" s="33"/>
      <c r="M235" s="33"/>
      <c r="N235" s="33"/>
      <c r="O235" s="33" t="n">
        <v>2011</v>
      </c>
      <c r="P235" s="33"/>
      <c r="Q235" s="33"/>
      <c r="R235" s="33" t="n">
        <v>1402</v>
      </c>
      <c r="S235" s="33"/>
      <c r="T235" s="33" t="n">
        <v>2305</v>
      </c>
      <c r="U235" s="33"/>
      <c r="V235" s="33"/>
      <c r="W235" s="33"/>
      <c r="X235" s="33"/>
      <c r="Y235" s="33" t="n">
        <v>3104</v>
      </c>
      <c r="Z235" s="33"/>
      <c r="AA235" s="34" t="n">
        <f aca="false">SUM(K235:Z235)</f>
        <v>8822</v>
      </c>
      <c r="AB235" s="35" t="n">
        <f aca="false">SUM(AA235/H235)</f>
        <v>8822</v>
      </c>
      <c r="AC235" s="36" t="n">
        <f aca="false">AB235/$AB$2</f>
        <v>588.133333333333</v>
      </c>
    </row>
    <row r="236" customFormat="false" ht="19.5" hidden="false" customHeight="true" outlineLevel="0" collapsed="false">
      <c r="A236" s="42" t="s">
        <v>45</v>
      </c>
      <c r="B236" s="38" t="s">
        <v>30</v>
      </c>
      <c r="C236" s="25" t="n">
        <v>305</v>
      </c>
      <c r="D236" s="26" t="s">
        <v>152</v>
      </c>
      <c r="E236" s="27" t="s">
        <v>146</v>
      </c>
      <c r="F236" s="28" t="s">
        <v>87</v>
      </c>
      <c r="G236" s="29" t="n">
        <v>1</v>
      </c>
      <c r="H236" s="30" t="n">
        <v>1</v>
      </c>
      <c r="I236" s="31" t="s">
        <v>22</v>
      </c>
      <c r="J236" s="32" t="n">
        <v>45877</v>
      </c>
      <c r="K236" s="33"/>
      <c r="L236" s="33"/>
      <c r="M236" s="33"/>
      <c r="N236" s="33"/>
      <c r="O236" s="33"/>
      <c r="P236" s="33" t="n">
        <v>2178</v>
      </c>
      <c r="Q236" s="33"/>
      <c r="R236" s="33"/>
      <c r="S236" s="33"/>
      <c r="T236" s="33"/>
      <c r="U236" s="33" t="n">
        <v>3448</v>
      </c>
      <c r="V236" s="33" t="n">
        <v>2677</v>
      </c>
      <c r="W236" s="33"/>
      <c r="X236" s="33"/>
      <c r="Y236" s="33"/>
      <c r="Z236" s="33"/>
      <c r="AA236" s="34" t="n">
        <f aca="false">SUM(K236:Z236)</f>
        <v>8303</v>
      </c>
      <c r="AB236" s="35" t="n">
        <f aca="false">SUM(AA236/H236)</f>
        <v>8303</v>
      </c>
      <c r="AC236" s="36" t="n">
        <f aca="false">AB236/$AB$2</f>
        <v>553.533333333333</v>
      </c>
    </row>
    <row r="237" customFormat="false" ht="19.5" hidden="false" customHeight="true" outlineLevel="0" collapsed="false">
      <c r="A237" s="53" t="s">
        <v>105</v>
      </c>
      <c r="B237" s="38" t="s">
        <v>78</v>
      </c>
      <c r="C237" s="25" t="n">
        <v>908</v>
      </c>
      <c r="D237" s="26" t="s">
        <v>144</v>
      </c>
      <c r="E237" s="27" t="s">
        <v>32</v>
      </c>
      <c r="F237" s="28" t="s">
        <v>33</v>
      </c>
      <c r="G237" s="29" t="n">
        <v>4</v>
      </c>
      <c r="H237" s="30" t="n">
        <v>1.2</v>
      </c>
      <c r="I237" s="31" t="s">
        <v>22</v>
      </c>
      <c r="J237" s="32" t="n">
        <v>45907</v>
      </c>
      <c r="K237" s="33"/>
      <c r="L237" s="33"/>
      <c r="M237" s="33"/>
      <c r="N237" s="33"/>
      <c r="O237" s="33"/>
      <c r="P237" s="33" t="n">
        <v>2628</v>
      </c>
      <c r="Q237" s="33"/>
      <c r="R237" s="33"/>
      <c r="S237" s="33"/>
      <c r="T237" s="33"/>
      <c r="U237" s="33" t="n">
        <v>3588</v>
      </c>
      <c r="V237" s="33" t="n">
        <v>1982</v>
      </c>
      <c r="W237" s="33"/>
      <c r="X237" s="33"/>
      <c r="Y237" s="33"/>
      <c r="Z237" s="33"/>
      <c r="AA237" s="34" t="n">
        <f aca="false">SUM(K237:Z237)</f>
        <v>8198</v>
      </c>
      <c r="AB237" s="35" t="n">
        <f aca="false">SUM(AA237/H237)</f>
        <v>6831.66666666667</v>
      </c>
      <c r="AC237" s="36" t="n">
        <f aca="false">AB237/$AB$2</f>
        <v>455.444444444444</v>
      </c>
    </row>
    <row r="238" customFormat="false" ht="19.5" hidden="false" customHeight="true" outlineLevel="0" collapsed="false">
      <c r="A238" s="51" t="s">
        <v>96</v>
      </c>
      <c r="B238" s="38" t="s">
        <v>66</v>
      </c>
      <c r="C238" s="25" t="n">
        <v>910</v>
      </c>
      <c r="D238" s="26" t="s">
        <v>126</v>
      </c>
      <c r="E238" s="27" t="s">
        <v>32</v>
      </c>
      <c r="F238" s="28" t="s">
        <v>33</v>
      </c>
      <c r="G238" s="29" t="s">
        <v>36</v>
      </c>
      <c r="H238" s="30" t="n">
        <v>2</v>
      </c>
      <c r="I238" s="31" t="s">
        <v>22</v>
      </c>
      <c r="J238" s="32" t="n">
        <v>45918</v>
      </c>
      <c r="K238" s="33" t="n">
        <v>2150</v>
      </c>
      <c r="L238" s="33"/>
      <c r="M238" s="33"/>
      <c r="N238" s="33" t="n">
        <v>868</v>
      </c>
      <c r="O238" s="33" t="n">
        <v>1714</v>
      </c>
      <c r="P238" s="33" t="n">
        <v>2109</v>
      </c>
      <c r="Q238" s="33"/>
      <c r="R238" s="33" t="n">
        <v>1362</v>
      </c>
      <c r="S238" s="33"/>
      <c r="T238" s="33"/>
      <c r="U238" s="33" t="n">
        <v>9412</v>
      </c>
      <c r="V238" s="33" t="n">
        <v>954</v>
      </c>
      <c r="W238" s="33"/>
      <c r="X238" s="33" t="n">
        <v>2228</v>
      </c>
      <c r="Y238" s="33" t="n">
        <v>4110</v>
      </c>
      <c r="Z238" s="33"/>
      <c r="AA238" s="34" t="n">
        <f aca="false">SUM(K238:Z238)</f>
        <v>24907</v>
      </c>
      <c r="AB238" s="35" t="n">
        <f aca="false">SUM(AA238/H238)</f>
        <v>12453.5</v>
      </c>
      <c r="AC238" s="36" t="n">
        <f aca="false">AB238/$AB$2</f>
        <v>830.233333333333</v>
      </c>
    </row>
    <row r="239" customFormat="false" ht="19.5" hidden="false" customHeight="true" outlineLevel="0" collapsed="false">
      <c r="A239" s="53" t="s">
        <v>105</v>
      </c>
      <c r="B239" s="38" t="s">
        <v>78</v>
      </c>
      <c r="C239" s="25" t="n">
        <v>908</v>
      </c>
      <c r="D239" s="26" t="s">
        <v>144</v>
      </c>
      <c r="E239" s="27" t="s">
        <v>23</v>
      </c>
      <c r="F239" s="28" t="s">
        <v>20</v>
      </c>
      <c r="G239" s="29" t="n">
        <v>5</v>
      </c>
      <c r="H239" s="30" t="n">
        <v>1.2</v>
      </c>
      <c r="I239" s="31" t="s">
        <v>22</v>
      </c>
      <c r="J239" s="32" t="n">
        <v>45909</v>
      </c>
      <c r="K239" s="33"/>
      <c r="L239" s="33"/>
      <c r="M239" s="33"/>
      <c r="N239" s="33"/>
      <c r="O239" s="33" t="n">
        <v>2430</v>
      </c>
      <c r="P239" s="33"/>
      <c r="Q239" s="33"/>
      <c r="R239" s="33"/>
      <c r="S239" s="33"/>
      <c r="T239" s="33" t="n">
        <v>1124</v>
      </c>
      <c r="U239" s="33" t="n">
        <v>2090</v>
      </c>
      <c r="V239" s="33"/>
      <c r="W239" s="33"/>
      <c r="X239" s="33"/>
      <c r="Y239" s="33"/>
      <c r="Z239" s="33"/>
      <c r="AA239" s="34" t="n">
        <f aca="false">SUM(K239:Z239)</f>
        <v>5644</v>
      </c>
      <c r="AB239" s="35" t="n">
        <f aca="false">SUM(AA239/H239)</f>
        <v>4703.33333333333</v>
      </c>
      <c r="AC239" s="36" t="n">
        <f aca="false">AB239/$AB$2</f>
        <v>313.555555555556</v>
      </c>
    </row>
    <row r="240" customFormat="false" ht="19.5" hidden="false" customHeight="true" outlineLevel="0" collapsed="false">
      <c r="A240" s="47" t="s">
        <v>65</v>
      </c>
      <c r="B240" s="38" t="s">
        <v>66</v>
      </c>
      <c r="C240" s="25" t="n">
        <v>904</v>
      </c>
      <c r="D240" s="26" t="s">
        <v>157</v>
      </c>
      <c r="E240" s="27" t="s">
        <v>99</v>
      </c>
      <c r="F240" s="28" t="s">
        <v>87</v>
      </c>
      <c r="G240" s="29" t="n">
        <v>4</v>
      </c>
      <c r="H240" s="30" t="n">
        <v>1.25</v>
      </c>
      <c r="I240" s="31" t="s">
        <v>22</v>
      </c>
      <c r="J240" s="32" t="n">
        <v>45874</v>
      </c>
      <c r="K240" s="33"/>
      <c r="L240" s="33"/>
      <c r="M240" s="33"/>
      <c r="N240" s="33"/>
      <c r="O240" s="33"/>
      <c r="P240" s="33"/>
      <c r="Q240" s="33"/>
      <c r="R240" s="33"/>
      <c r="S240" s="33"/>
      <c r="T240" s="33" t="n">
        <v>563</v>
      </c>
      <c r="U240" s="33"/>
      <c r="V240" s="33" t="n">
        <v>3432</v>
      </c>
      <c r="W240" s="33" t="n">
        <v>572</v>
      </c>
      <c r="X240" s="33"/>
      <c r="Y240" s="33"/>
      <c r="Z240" s="33"/>
      <c r="AA240" s="34" t="n">
        <f aca="false">SUM(K240:Z240)</f>
        <v>4567</v>
      </c>
      <c r="AB240" s="35" t="n">
        <f aca="false">SUM(AA240/H240)</f>
        <v>3653.6</v>
      </c>
      <c r="AC240" s="36" t="n">
        <f aca="false">AB240/$AB$2</f>
        <v>243.573333333333</v>
      </c>
    </row>
    <row r="241" customFormat="false" ht="19.5" hidden="false" customHeight="true" outlineLevel="0" collapsed="false">
      <c r="A241" s="42" t="s">
        <v>45</v>
      </c>
      <c r="B241" s="38" t="s">
        <v>30</v>
      </c>
      <c r="C241" s="25" t="n">
        <v>305</v>
      </c>
      <c r="D241" s="26" t="s">
        <v>152</v>
      </c>
      <c r="E241" s="27" t="s">
        <v>192</v>
      </c>
      <c r="F241" s="28" t="s">
        <v>87</v>
      </c>
      <c r="G241" s="29" t="n">
        <v>2</v>
      </c>
      <c r="H241" s="30" t="n">
        <v>1</v>
      </c>
      <c r="I241" s="31" t="s">
        <v>22</v>
      </c>
      <c r="J241" s="32" t="n">
        <v>45910</v>
      </c>
      <c r="K241" s="33"/>
      <c r="L241" s="33"/>
      <c r="M241" s="33" t="n">
        <v>699</v>
      </c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4" t="n">
        <f aca="false">SUM(K241:Z241)</f>
        <v>699</v>
      </c>
      <c r="AB241" s="35" t="n">
        <f aca="false">SUM(AA241/H241)</f>
        <v>699</v>
      </c>
      <c r="AC241" s="36" t="n">
        <f aca="false">AB241/$AB$2</f>
        <v>46.6</v>
      </c>
    </row>
    <row r="242" customFormat="false" ht="19.5" hidden="false" customHeight="true" outlineLevel="0" collapsed="false">
      <c r="A242" s="42" t="s">
        <v>45</v>
      </c>
      <c r="B242" s="38" t="s">
        <v>30</v>
      </c>
      <c r="C242" s="25" t="n">
        <v>303</v>
      </c>
      <c r="D242" s="26" t="s">
        <v>46</v>
      </c>
      <c r="E242" s="27" t="s">
        <v>47</v>
      </c>
      <c r="F242" s="28" t="s">
        <v>48</v>
      </c>
      <c r="G242" s="29" t="n">
        <v>2</v>
      </c>
      <c r="H242" s="30" t="n">
        <v>1.1</v>
      </c>
      <c r="I242" s="31" t="s">
        <v>22</v>
      </c>
      <c r="J242" s="32" t="n">
        <v>45990</v>
      </c>
      <c r="K242" s="33"/>
      <c r="L242" s="33"/>
      <c r="M242" s="33" t="n">
        <v>2357</v>
      </c>
      <c r="N242" s="33" t="n">
        <v>1098</v>
      </c>
      <c r="O242" s="33"/>
      <c r="P242" s="33" t="n">
        <v>3032</v>
      </c>
      <c r="Q242" s="33"/>
      <c r="R242" s="33"/>
      <c r="S242" s="33" t="n">
        <v>2205</v>
      </c>
      <c r="T242" s="33" t="n">
        <v>3337</v>
      </c>
      <c r="U242" s="33"/>
      <c r="V242" s="33"/>
      <c r="W242" s="33" t="n">
        <v>3785</v>
      </c>
      <c r="X242" s="33"/>
      <c r="Y242" s="33"/>
      <c r="Z242" s="33"/>
      <c r="AA242" s="34" t="n">
        <f aca="false">SUM(K242:Z242)</f>
        <v>15814</v>
      </c>
      <c r="AB242" s="35" t="n">
        <f aca="false">SUM(AA242/H242)</f>
        <v>14376.3636363636</v>
      </c>
      <c r="AC242" s="36" t="n">
        <f aca="false">AB242/$AB$2</f>
        <v>958.424242424242</v>
      </c>
    </row>
    <row r="243" customFormat="false" ht="19.5" hidden="false" customHeight="true" outlineLevel="0" collapsed="false">
      <c r="A243" s="50" t="s">
        <v>83</v>
      </c>
      <c r="B243" s="38" t="s">
        <v>84</v>
      </c>
      <c r="C243" s="25" t="n">
        <v>204</v>
      </c>
      <c r="D243" s="26" t="s">
        <v>85</v>
      </c>
      <c r="E243" s="27" t="s">
        <v>159</v>
      </c>
      <c r="F243" s="28" t="s">
        <v>87</v>
      </c>
      <c r="G243" s="29" t="n">
        <v>4</v>
      </c>
      <c r="H243" s="30" t="n">
        <v>1</v>
      </c>
      <c r="I243" s="31" t="s">
        <v>22</v>
      </c>
      <c r="J243" s="32" t="n">
        <v>45925</v>
      </c>
      <c r="K243" s="33"/>
      <c r="L243" s="33"/>
      <c r="M243" s="33"/>
      <c r="N243" s="33"/>
      <c r="O243" s="33" t="n">
        <v>2645</v>
      </c>
      <c r="P243" s="33"/>
      <c r="Q243" s="33"/>
      <c r="R243" s="33"/>
      <c r="S243" s="33"/>
      <c r="T243" s="33"/>
      <c r="U243" s="33" t="n">
        <v>1193</v>
      </c>
      <c r="V243" s="33" t="n">
        <v>2438</v>
      </c>
      <c r="W243" s="33"/>
      <c r="X243" s="33"/>
      <c r="Y243" s="33" t="n">
        <v>2056</v>
      </c>
      <c r="Z243" s="33"/>
      <c r="AA243" s="34" t="n">
        <f aca="false">SUM(K243:Z243)</f>
        <v>8332</v>
      </c>
      <c r="AB243" s="35" t="n">
        <f aca="false">SUM(AA243/H243)</f>
        <v>8332</v>
      </c>
      <c r="AC243" s="36" t="n">
        <f aca="false">AB243/$AB$2</f>
        <v>555.466666666667</v>
      </c>
    </row>
    <row r="244" customFormat="false" ht="19.5" hidden="false" customHeight="true" outlineLevel="0" collapsed="false">
      <c r="A244" s="48" t="s">
        <v>70</v>
      </c>
      <c r="B244" s="38" t="s">
        <v>26</v>
      </c>
      <c r="C244" s="25" t="n">
        <v>1015</v>
      </c>
      <c r="D244" s="26" t="s">
        <v>73</v>
      </c>
      <c r="E244" s="27" t="s">
        <v>23</v>
      </c>
      <c r="F244" s="28" t="s">
        <v>20</v>
      </c>
      <c r="G244" s="29" t="s">
        <v>52</v>
      </c>
      <c r="H244" s="30" t="n">
        <v>2.78</v>
      </c>
      <c r="I244" s="31" t="s">
        <v>22</v>
      </c>
      <c r="J244" s="32" t="n">
        <v>45953</v>
      </c>
      <c r="K244" s="33" t="n">
        <v>4508</v>
      </c>
      <c r="L244" s="33" t="n">
        <v>2716</v>
      </c>
      <c r="M244" s="33"/>
      <c r="N244" s="33" t="n">
        <v>2274</v>
      </c>
      <c r="O244" s="33" t="n">
        <v>1376</v>
      </c>
      <c r="P244" s="33" t="n">
        <v>2164</v>
      </c>
      <c r="Q244" s="33"/>
      <c r="R244" s="33" t="n">
        <v>2768</v>
      </c>
      <c r="S244" s="33" t="n">
        <v>2624</v>
      </c>
      <c r="T244" s="33" t="n">
        <v>3644</v>
      </c>
      <c r="U244" s="33"/>
      <c r="V244" s="33" t="n">
        <v>2970</v>
      </c>
      <c r="W244" s="33" t="n">
        <v>2448</v>
      </c>
      <c r="X244" s="33"/>
      <c r="Y244" s="33"/>
      <c r="Z244" s="33"/>
      <c r="AA244" s="34" t="n">
        <f aca="false">SUM(K244:Z244)</f>
        <v>27492</v>
      </c>
      <c r="AB244" s="35" t="n">
        <f aca="false">SUM(AA244/H244)</f>
        <v>9889.20863309353</v>
      </c>
      <c r="AC244" s="36" t="n">
        <f aca="false">AB244/$AB$2</f>
        <v>659.280575539568</v>
      </c>
    </row>
    <row r="245" customFormat="false" ht="19.5" hidden="false" customHeight="true" outlineLevel="0" collapsed="false">
      <c r="A245" s="24" t="s">
        <v>41</v>
      </c>
      <c r="B245" s="38" t="s">
        <v>42</v>
      </c>
      <c r="C245" s="25" t="n">
        <v>101</v>
      </c>
      <c r="D245" s="26" t="s">
        <v>53</v>
      </c>
      <c r="E245" s="27" t="s">
        <v>193</v>
      </c>
      <c r="F245" s="28" t="s">
        <v>48</v>
      </c>
      <c r="G245" s="29" t="s">
        <v>59</v>
      </c>
      <c r="H245" s="30" t="n">
        <v>2.1</v>
      </c>
      <c r="I245" s="31" t="s">
        <v>22</v>
      </c>
      <c r="J245" s="32" t="n">
        <v>45946</v>
      </c>
      <c r="K245" s="33"/>
      <c r="L245" s="33" t="n">
        <v>2291</v>
      </c>
      <c r="M245" s="33" t="n">
        <v>4172</v>
      </c>
      <c r="N245" s="33"/>
      <c r="O245" s="33"/>
      <c r="P245" s="33" t="n">
        <v>6600</v>
      </c>
      <c r="Q245" s="33"/>
      <c r="R245" s="33"/>
      <c r="S245" s="33" t="n">
        <v>7295</v>
      </c>
      <c r="T245" s="33"/>
      <c r="U245" s="33"/>
      <c r="V245" s="33" t="n">
        <v>7917</v>
      </c>
      <c r="W245" s="33"/>
      <c r="X245" s="33"/>
      <c r="Y245" s="33"/>
      <c r="Z245" s="33"/>
      <c r="AA245" s="34" t="n">
        <f aca="false">SUM(K245:Z245)</f>
        <v>28275</v>
      </c>
      <c r="AB245" s="35" t="n">
        <f aca="false">SUM(AA245/H245)</f>
        <v>13464.2857142857</v>
      </c>
      <c r="AC245" s="36" t="n">
        <f aca="false">AB245/$AB$2</f>
        <v>897.619047619048</v>
      </c>
    </row>
    <row r="246" customFormat="false" ht="19.5" hidden="false" customHeight="true" outlineLevel="0" collapsed="false">
      <c r="A246" s="65" t="s">
        <v>132</v>
      </c>
      <c r="B246" s="38" t="s">
        <v>17</v>
      </c>
      <c r="C246" s="25" t="n">
        <v>801</v>
      </c>
      <c r="D246" s="26" t="s">
        <v>133</v>
      </c>
      <c r="E246" s="27" t="s">
        <v>23</v>
      </c>
      <c r="F246" s="28" t="s">
        <v>20</v>
      </c>
      <c r="G246" s="29" t="s">
        <v>28</v>
      </c>
      <c r="H246" s="30" t="n">
        <v>1.86</v>
      </c>
      <c r="I246" s="31" t="s">
        <v>22</v>
      </c>
      <c r="J246" s="32" t="n">
        <v>45948</v>
      </c>
      <c r="K246" s="33"/>
      <c r="L246" s="33"/>
      <c r="M246" s="33"/>
      <c r="N246" s="33"/>
      <c r="O246" s="33" t="n">
        <v>2150</v>
      </c>
      <c r="P246" s="33" t="n">
        <v>1208</v>
      </c>
      <c r="Q246" s="33"/>
      <c r="R246" s="33"/>
      <c r="S246" s="33" t="n">
        <v>1844</v>
      </c>
      <c r="T246" s="33" t="n">
        <v>1440</v>
      </c>
      <c r="U246" s="33"/>
      <c r="V246" s="33"/>
      <c r="W246" s="33"/>
      <c r="X246" s="33" t="n">
        <v>2004</v>
      </c>
      <c r="Y246" s="33"/>
      <c r="Z246" s="33"/>
      <c r="AA246" s="34" t="n">
        <f aca="false">SUM(K246:Z246)</f>
        <v>8646</v>
      </c>
      <c r="AB246" s="35" t="n">
        <f aca="false">SUM(AA246/H246)</f>
        <v>4648.38709677419</v>
      </c>
      <c r="AC246" s="36" t="n">
        <f aca="false">AB246/$AB$2</f>
        <v>309.89247311828</v>
      </c>
    </row>
    <row r="247" customFormat="false" ht="19.5" hidden="false" customHeight="true" outlineLevel="0" collapsed="false">
      <c r="A247" s="39" t="s">
        <v>29</v>
      </c>
      <c r="B247" s="38" t="s">
        <v>30</v>
      </c>
      <c r="C247" s="25" t="n">
        <v>405</v>
      </c>
      <c r="D247" s="26" t="s">
        <v>194</v>
      </c>
      <c r="E247" s="27" t="s">
        <v>49</v>
      </c>
      <c r="F247" s="28" t="s">
        <v>48</v>
      </c>
      <c r="G247" s="29" t="s">
        <v>195</v>
      </c>
      <c r="H247" s="30" t="n">
        <v>2.28</v>
      </c>
      <c r="I247" s="31" t="s">
        <v>22</v>
      </c>
      <c r="J247" s="32" t="n">
        <v>45966</v>
      </c>
      <c r="K247" s="33"/>
      <c r="L247" s="33" t="n">
        <v>4796</v>
      </c>
      <c r="M247" s="33"/>
      <c r="N247" s="33" t="n">
        <v>6790</v>
      </c>
      <c r="O247" s="33"/>
      <c r="P247" s="33"/>
      <c r="Q247" s="33"/>
      <c r="R247" s="33" t="n">
        <v>7398</v>
      </c>
      <c r="S247" s="33" t="n">
        <v>11432</v>
      </c>
      <c r="T247" s="33" t="n">
        <v>3390</v>
      </c>
      <c r="U247" s="33"/>
      <c r="V247" s="33" t="n">
        <v>4227</v>
      </c>
      <c r="W247" s="33" t="n">
        <v>4661</v>
      </c>
      <c r="X247" s="33"/>
      <c r="Y247" s="33" t="n">
        <v>4606</v>
      </c>
      <c r="Z247" s="33"/>
      <c r="AA247" s="34" t="n">
        <f aca="false">SUM(K247:Z247)</f>
        <v>47300</v>
      </c>
      <c r="AB247" s="35" t="n">
        <f aca="false">SUM(AA247/H247)</f>
        <v>20745.6140350877</v>
      </c>
      <c r="AC247" s="36" t="n">
        <f aca="false">AB247/$AB$2</f>
        <v>1383.04093567251</v>
      </c>
    </row>
    <row r="248" customFormat="false" ht="19.5" hidden="false" customHeight="true" outlineLevel="0" collapsed="false">
      <c r="A248" s="39" t="s">
        <v>29</v>
      </c>
      <c r="B248" s="38" t="s">
        <v>30</v>
      </c>
      <c r="C248" s="25" t="n">
        <v>405</v>
      </c>
      <c r="D248" s="26" t="s">
        <v>194</v>
      </c>
      <c r="E248" s="27" t="s">
        <v>47</v>
      </c>
      <c r="F248" s="28" t="s">
        <v>48</v>
      </c>
      <c r="G248" s="29" t="s">
        <v>52</v>
      </c>
      <c r="H248" s="30" t="n">
        <v>3.68</v>
      </c>
      <c r="I248" s="31" t="s">
        <v>22</v>
      </c>
      <c r="J248" s="32" t="n">
        <v>45961</v>
      </c>
      <c r="K248" s="33" t="n">
        <v>11668</v>
      </c>
      <c r="L248" s="33" t="n">
        <v>3448</v>
      </c>
      <c r="M248" s="33"/>
      <c r="N248" s="33" t="n">
        <v>1814</v>
      </c>
      <c r="O248" s="33" t="n">
        <v>9955</v>
      </c>
      <c r="P248" s="33"/>
      <c r="Q248" s="33" t="n">
        <v>8740</v>
      </c>
      <c r="R248" s="33" t="n">
        <v>4264</v>
      </c>
      <c r="S248" s="33"/>
      <c r="T248" s="33" t="n">
        <v>6436</v>
      </c>
      <c r="U248" s="33" t="n">
        <v>10602</v>
      </c>
      <c r="V248" s="33" t="n">
        <v>13102</v>
      </c>
      <c r="W248" s="33"/>
      <c r="X248" s="33"/>
      <c r="Y248" s="33" t="n">
        <v>800</v>
      </c>
      <c r="Z248" s="33"/>
      <c r="AA248" s="34" t="n">
        <f aca="false">SUM(K248:Z248)</f>
        <v>70829</v>
      </c>
      <c r="AB248" s="35" t="n">
        <f aca="false">SUM(AA248/H248)</f>
        <v>19247.0108695652</v>
      </c>
      <c r="AC248" s="36" t="n">
        <f aca="false">AB248/$AB$2</f>
        <v>1283.13405797101</v>
      </c>
    </row>
    <row r="249" customFormat="false" ht="19.5" hidden="false" customHeight="true" outlineLevel="0" collapsed="false">
      <c r="A249" s="43" t="s">
        <v>50</v>
      </c>
      <c r="B249" s="38" t="s">
        <v>26</v>
      </c>
      <c r="C249" s="25" t="n">
        <v>401</v>
      </c>
      <c r="D249" s="26" t="s">
        <v>51</v>
      </c>
      <c r="E249" s="27" t="s">
        <v>19</v>
      </c>
      <c r="F249" s="28" t="s">
        <v>20</v>
      </c>
      <c r="G249" s="29" t="s">
        <v>89</v>
      </c>
      <c r="H249" s="30" t="n">
        <v>1.6</v>
      </c>
      <c r="I249" s="31" t="s">
        <v>22</v>
      </c>
      <c r="J249" s="32" t="n">
        <v>45900</v>
      </c>
      <c r="K249" s="33" t="n">
        <v>380</v>
      </c>
      <c r="L249" s="33"/>
      <c r="M249" s="33"/>
      <c r="N249" s="33"/>
      <c r="O249" s="33" t="n">
        <v>1464</v>
      </c>
      <c r="P249" s="33" t="n">
        <v>1936</v>
      </c>
      <c r="Q249" s="33"/>
      <c r="R249" s="33"/>
      <c r="S249" s="33"/>
      <c r="T249" s="33"/>
      <c r="U249" s="33" t="n">
        <v>3094</v>
      </c>
      <c r="V249" s="33"/>
      <c r="W249" s="33"/>
      <c r="X249" s="33"/>
      <c r="Y249" s="33"/>
      <c r="Z249" s="33"/>
      <c r="AA249" s="34" t="n">
        <f aca="false">SUM(K249:Z249)</f>
        <v>6874</v>
      </c>
      <c r="AB249" s="35" t="n">
        <f aca="false">SUM(AA249/H249)</f>
        <v>4296.25</v>
      </c>
      <c r="AC249" s="36" t="n">
        <f aca="false">AB249/$AB$2</f>
        <v>286.416666666667</v>
      </c>
    </row>
    <row r="250" customFormat="false" ht="19.5" hidden="false" customHeight="true" outlineLevel="0" collapsed="false">
      <c r="A250" s="49" t="s">
        <v>77</v>
      </c>
      <c r="B250" s="71" t="s">
        <v>102</v>
      </c>
      <c r="C250" s="25" t="n">
        <v>406</v>
      </c>
      <c r="D250" s="26" t="s">
        <v>196</v>
      </c>
      <c r="E250" s="27" t="s">
        <v>86</v>
      </c>
      <c r="F250" s="28" t="s">
        <v>87</v>
      </c>
      <c r="G250" s="29" t="s">
        <v>135</v>
      </c>
      <c r="H250" s="30" t="n">
        <v>1.7</v>
      </c>
      <c r="I250" s="31" t="s">
        <v>22</v>
      </c>
      <c r="J250" s="32" t="n">
        <v>45940</v>
      </c>
      <c r="K250" s="33"/>
      <c r="L250" s="33"/>
      <c r="M250" s="33" t="n">
        <v>1261</v>
      </c>
      <c r="N250" s="33" t="n">
        <v>3445</v>
      </c>
      <c r="O250" s="33"/>
      <c r="P250" s="33"/>
      <c r="Q250" s="33"/>
      <c r="R250" s="33"/>
      <c r="S250" s="33"/>
      <c r="T250" s="33" t="n">
        <v>2472</v>
      </c>
      <c r="U250" s="33" t="n">
        <v>2846</v>
      </c>
      <c r="V250" s="33" t="n">
        <v>1197</v>
      </c>
      <c r="W250" s="33"/>
      <c r="X250" s="33"/>
      <c r="Y250" s="33"/>
      <c r="Z250" s="33"/>
      <c r="AA250" s="34" t="n">
        <f aca="false">SUM(K250:Z250)</f>
        <v>11221</v>
      </c>
      <c r="AB250" s="35" t="n">
        <f aca="false">SUM(AA250/H250)</f>
        <v>6600.58823529412</v>
      </c>
      <c r="AC250" s="36" t="n">
        <f aca="false">AB250/$AB$2</f>
        <v>440.039215686275</v>
      </c>
    </row>
    <row r="251" customFormat="false" ht="19.5" hidden="false" customHeight="true" outlineLevel="0" collapsed="false">
      <c r="A251" s="49" t="s">
        <v>77</v>
      </c>
      <c r="B251" s="71" t="s">
        <v>102</v>
      </c>
      <c r="C251" s="25" t="n">
        <v>406</v>
      </c>
      <c r="D251" s="26" t="s">
        <v>196</v>
      </c>
      <c r="E251" s="27" t="s">
        <v>99</v>
      </c>
      <c r="F251" s="28" t="s">
        <v>87</v>
      </c>
      <c r="G251" s="29" t="n">
        <v>21</v>
      </c>
      <c r="H251" s="30" t="n">
        <v>0.2</v>
      </c>
      <c r="I251" s="31" t="s">
        <v>22</v>
      </c>
      <c r="J251" s="32" t="n">
        <v>45940</v>
      </c>
      <c r="K251" s="33"/>
      <c r="L251" s="33"/>
      <c r="M251" s="33" t="n">
        <v>1106</v>
      </c>
      <c r="N251" s="33"/>
      <c r="O251" s="33"/>
      <c r="P251" s="33"/>
      <c r="Q251" s="33"/>
      <c r="R251" s="33"/>
      <c r="S251" s="33"/>
      <c r="T251" s="33"/>
      <c r="U251" s="33"/>
      <c r="V251" s="33" t="n">
        <v>1197</v>
      </c>
      <c r="W251" s="33"/>
      <c r="X251" s="33"/>
      <c r="Y251" s="33"/>
      <c r="Z251" s="33"/>
      <c r="AA251" s="34" t="n">
        <f aca="false">SUM(K251:Z251)</f>
        <v>2303</v>
      </c>
      <c r="AB251" s="35" t="n">
        <f aca="false">SUM(AA251/H251)</f>
        <v>11515</v>
      </c>
      <c r="AC251" s="36" t="n">
        <f aca="false">AB251/$AB$2</f>
        <v>767.666666666667</v>
      </c>
    </row>
    <row r="252" customFormat="false" ht="19.5" hidden="false" customHeight="true" outlineLevel="0" collapsed="false">
      <c r="A252" s="46" t="s">
        <v>60</v>
      </c>
      <c r="B252" s="71" t="s">
        <v>66</v>
      </c>
      <c r="C252" s="25" t="n">
        <v>403</v>
      </c>
      <c r="D252" s="26" t="s">
        <v>178</v>
      </c>
      <c r="E252" s="27" t="s">
        <v>153</v>
      </c>
      <c r="F252" s="28" t="s">
        <v>69</v>
      </c>
      <c r="G252" s="29" t="n">
        <v>2</v>
      </c>
      <c r="H252" s="30" t="n">
        <v>0.5</v>
      </c>
      <c r="I252" s="31" t="s">
        <v>22</v>
      </c>
      <c r="J252" s="32" t="n">
        <v>45890</v>
      </c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4" t="n">
        <f aca="false">SUM(K252:Z252)</f>
        <v>0</v>
      </c>
      <c r="AB252" s="35" t="n">
        <f aca="false">SUM(AA252/H252)</f>
        <v>0</v>
      </c>
      <c r="AC252" s="36" t="n">
        <f aca="false">AB252/$AB$2</f>
        <v>0</v>
      </c>
    </row>
    <row r="253" s="77" customFormat="true" ht="16.5" hidden="false" customHeight="true" outlineLevel="0" collapsed="false">
      <c r="A253" s="72"/>
      <c r="B253" s="49"/>
      <c r="C253" s="72"/>
      <c r="D253" s="73"/>
      <c r="E253" s="73"/>
      <c r="F253" s="73"/>
      <c r="G253" s="74"/>
      <c r="H253" s="73"/>
      <c r="I253" s="75" t="s">
        <v>197</v>
      </c>
      <c r="J253" s="75"/>
      <c r="K253" s="76" t="n">
        <f aca="false">SUM(K5:K252)</f>
        <v>189570</v>
      </c>
      <c r="L253" s="76" t="n">
        <f aca="false">SUM(L5:L252)</f>
        <v>139721</v>
      </c>
      <c r="M253" s="76" t="n">
        <f aca="false">SUM(M5:M252)</f>
        <v>176729</v>
      </c>
      <c r="N253" s="76" t="n">
        <f aca="false">SUM(N5:N252)</f>
        <v>181636</v>
      </c>
      <c r="O253" s="76" t="n">
        <f aca="false">SUM(O5:O252)</f>
        <v>146108</v>
      </c>
      <c r="P253" s="76" t="n">
        <f aca="false">SUM(P5:P252)</f>
        <v>192343</v>
      </c>
      <c r="Q253" s="76" t="n">
        <f aca="false">SUM(Q5:Q252)</f>
        <v>181136</v>
      </c>
      <c r="R253" s="76" t="n">
        <f aca="false">SUM(R5:R252)</f>
        <v>202572</v>
      </c>
      <c r="S253" s="76" t="n">
        <f aca="false">SUM(S5:S252)</f>
        <v>202143</v>
      </c>
      <c r="T253" s="76" t="n">
        <f aca="false">SUM(T5:T252)</f>
        <v>274372</v>
      </c>
      <c r="U253" s="76" t="n">
        <f aca="false">SUM(U5:U252)</f>
        <v>257219</v>
      </c>
      <c r="V253" s="76" t="n">
        <f aca="false">SUM(V5:V252)</f>
        <v>231598</v>
      </c>
      <c r="W253" s="76" t="n">
        <f aca="false">SUM(W5:W252)</f>
        <v>227081</v>
      </c>
      <c r="X253" s="76" t="n">
        <f aca="false">SUM(X5:X252)</f>
        <v>182341</v>
      </c>
      <c r="Y253" s="76" t="n">
        <f aca="false">SUM(Y5:Y252)</f>
        <v>198485</v>
      </c>
      <c r="Z253" s="76" t="n">
        <f aca="false">SUM(Z5:Z252)</f>
        <v>0</v>
      </c>
      <c r="AA253" s="34" t="n">
        <f aca="false">SUM(K253:Z253)</f>
        <v>2983054</v>
      </c>
      <c r="AB253" s="76"/>
      <c r="AC253" s="76"/>
      <c r="AD253" s="72"/>
    </row>
    <row r="254" customFormat="false" ht="15.75" hidden="false" customHeight="true" outlineLevel="0" collapsed="false">
      <c r="B254" s="49"/>
      <c r="T254" s="76"/>
    </row>
    <row r="268" customFormat="false" ht="15.75" hidden="false" customHeight="false" outlineLevel="0" collapsed="false">
      <c r="G268" s="78"/>
    </row>
  </sheetData>
  <autoFilter ref="A4:AC253"/>
  <mergeCells count="2">
    <mergeCell ref="D2:J2"/>
    <mergeCell ref="I253:J2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2024-08-04T08:53:52Z</dcterms:created>
  <dc:creator>hp</dc:creator>
  <dc:description/>
  <dc:language>en-US</dc:language>
  <cp:lastModifiedBy/>
  <cp:lastPrinted>2025-04-11T12:29:15Z</cp:lastPrinted>
  <dcterms:modified xsi:type="dcterms:W3CDTF">2026-05-01T15:20:05Z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