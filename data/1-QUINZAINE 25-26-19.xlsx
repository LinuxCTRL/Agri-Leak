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1"/>
  </bookViews>
  <sheets>
    <sheet name="01" sheetId="1" state="visible" r:id="rId3"/>
    <sheet name="02" sheetId="2" state="visible" r:id="rId4"/>
    <sheet name="03" sheetId="3" state="visible" r:id="rId5"/>
    <sheet name="04" sheetId="4" state="visible" r:id="rId6"/>
    <sheet name="05" sheetId="5" state="visible" r:id="rId7"/>
    <sheet name="06" sheetId="6" state="visible" r:id="rId8"/>
    <sheet name="07" sheetId="7" state="visible" r:id="rId9"/>
    <sheet name="08" sheetId="8" state="visible" r:id="rId10"/>
    <sheet name="09" sheetId="9" state="visible" r:id="rId11"/>
    <sheet name="10" sheetId="10" state="visible" r:id="rId12"/>
    <sheet name="11" sheetId="11" state="visible" r:id="rId13"/>
    <sheet name="12" sheetId="12" state="visible" r:id="rId14"/>
    <sheet name="13" sheetId="13" state="visible" r:id="rId15"/>
    <sheet name="14" sheetId="14" state="visible" r:id="rId16"/>
    <sheet name="15" sheetId="15" state="visible" r:id="rId17"/>
    <sheet name="16" sheetId="16" state="visible" r:id="rId18"/>
    <sheet name="17" sheetId="17" state="visible" r:id="rId19"/>
    <sheet name="18" sheetId="18" state="visible" r:id="rId20"/>
    <sheet name="19" sheetId="19" state="visible" r:id="rId21"/>
    <sheet name="20" sheetId="20" state="visible" r:id="rId22"/>
    <sheet name="21" sheetId="21" state="visible" r:id="rId23"/>
    <sheet name="22" sheetId="22" state="visible" r:id="rId24"/>
  </sheets>
  <definedNames>
    <definedName function="false" hidden="false" localSheetId="0" name="_xlnm.Print_Area" vbProcedure="false">'01'!$A$1:$M$32</definedName>
    <definedName function="false" hidden="false" localSheetId="0" name="_xlnm.Print_Titles" vbProcedure="false">'01'!$1:$1</definedName>
    <definedName function="false" hidden="true" localSheetId="0" name="_xlnm._FilterDatabase" vbProcedure="false">'01'!$A$7:$AO$7</definedName>
    <definedName function="false" hidden="false" localSheetId="1" name="_xlnm.Print_Area" vbProcedure="false">'02'!$A$1:$M$32</definedName>
    <definedName function="false" hidden="false" localSheetId="1" name="_xlnm.Print_Titles" vbProcedure="false">'02'!$1:$1</definedName>
    <definedName function="false" hidden="false" localSheetId="2" name="_xlnm.Print_Area" vbProcedure="false">'03'!$A$1:$M$32</definedName>
    <definedName function="false" hidden="false" localSheetId="2" name="_xlnm.Print_Titles" vbProcedure="false">'03'!$1:$1</definedName>
    <definedName function="false" hidden="false" localSheetId="3" name="_xlnm.Print_Area" vbProcedure="false">'04'!$A$1:$M$32</definedName>
    <definedName function="false" hidden="false" localSheetId="3" name="_xlnm.Print_Titles" vbProcedure="false">'04'!$1:$1</definedName>
    <definedName function="false" hidden="true" localSheetId="3" name="_xlnm._FilterDatabase" vbProcedure="false">'04'!$A$7:$AP$49</definedName>
    <definedName function="false" hidden="false" localSheetId="4" name="_xlnm.Print_Area" vbProcedure="false">'05'!$A$1:$M$32</definedName>
    <definedName function="false" hidden="false" localSheetId="4" name="_xlnm.Print_Titles" vbProcedure="false">'05'!$1:$1</definedName>
    <definedName function="false" hidden="false" localSheetId="5" name="_xlnm.Print_Area" vbProcedure="false">'06'!$A$1:$M$32</definedName>
    <definedName function="false" hidden="false" localSheetId="5" name="_xlnm.Print_Titles" vbProcedure="false">'06'!$1:$1</definedName>
    <definedName function="false" hidden="false" localSheetId="9" name="_xlnm.Print_Titles" vbProcedure="false">'10'!$1:$1</definedName>
    <definedName function="false" hidden="false" localSheetId="10" name="_xlnm.Print_Area" vbProcedure="false">'11'!$A$1:$M$32</definedName>
    <definedName function="false" hidden="true" localSheetId="10" name="_xlnm._FilterDatabase" vbProcedure="false">'11'!$A$7:$AO$49</definedName>
    <definedName function="false" hidden="true" localSheetId="11" name="_xlnm._FilterDatabase" vbProcedure="false">'12'!$A$7:$AP$49</definedName>
    <definedName function="false" hidden="false" localSheetId="12" name="_xlnm.Print_Titles" vbProcedure="false">'13'!$1:$1</definedName>
    <definedName function="false" hidden="true" localSheetId="12" name="_xlnm._FilterDatabase" vbProcedure="false">'13'!$A$7:$AP$49</definedName>
    <definedName function="false" hidden="false" localSheetId="13" name="_xlnm.Print_Area" vbProcedure="false">'14'!$A$1:$M$32</definedName>
    <definedName function="false" hidden="true" localSheetId="13" name="_xlnm._FilterDatabase" vbProcedure="false">'14'!$A$7:$AP$50</definedName>
    <definedName function="false" hidden="true" localSheetId="14" name="_xlnm._FilterDatabase" vbProcedure="false">'15'!$A$7:$AP$50</definedName>
    <definedName function="false" hidden="false" localSheetId="17" name="_xlnm.Print_Titles" vbProcedure="false">'18'!$1:$1</definedName>
    <definedName function="false" hidden="false" localSheetId="18" name="_xlnm.Print_Area" vbProcedure="false">'19'!$A$1:$M$32</definedName>
    <definedName function="false" hidden="false" localSheetId="18" name="_xlnm.Print_Titles" vbProcedure="false">'19'!$1:$1</definedName>
    <definedName function="false" hidden="true" localSheetId="20" name="_xlnm._FilterDatabase" vbProcedure="false">'21'!$A$7:$AP$7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<sst xmlns="http://schemas.openxmlformats.org/spreadsheetml/2006/main" count="968" uniqueCount="44">
  <si>
    <t xml:space="preserve">Domaine</t>
  </si>
  <si>
    <t xml:space="preserve">Super</t>
  </si>
  <si>
    <t xml:space="preserve">Montant Total</t>
  </si>
  <si>
    <t xml:space="preserve">Main D'oeuvrs</t>
  </si>
  <si>
    <t xml:space="preserve">ECHASSIER</t>
  </si>
  <si>
    <t xml:space="preserve">Attache</t>
  </si>
  <si>
    <t xml:space="preserve">Poste Fixe</t>
  </si>
  <si>
    <t xml:space="preserve">Dépences externe</t>
  </si>
  <si>
    <t xml:space="preserve">Autre Dépences interne</t>
  </si>
  <si>
    <t xml:space="preserve">congé</t>
  </si>
  <si>
    <t xml:space="preserve">Cout Ouvriers/ha</t>
  </si>
  <si>
    <t xml:space="preserve">Cout depences</t>
  </si>
  <si>
    <t xml:space="preserve">Cout General</t>
  </si>
  <si>
    <t xml:space="preserve">AMOUZ 1</t>
  </si>
  <si>
    <t xml:space="preserve">EL JAIRA</t>
  </si>
  <si>
    <t xml:space="preserve">AL BARAKA</t>
  </si>
  <si>
    <t xml:space="preserve">TOUG RIH</t>
  </si>
  <si>
    <t xml:space="preserve">AMOUZ 2</t>
  </si>
  <si>
    <t xml:space="preserve">ADOUZ </t>
  </si>
  <si>
    <t xml:space="preserve">AWRIR</t>
  </si>
  <si>
    <t xml:space="preserve">TOUJANA </t>
  </si>
  <si>
    <t xml:space="preserve">TINZAR</t>
  </si>
  <si>
    <t xml:space="preserve">BAKHIR </t>
  </si>
  <si>
    <t xml:space="preserve">TOUFLIHT </t>
  </si>
  <si>
    <t xml:space="preserve">AMOUZ 3</t>
  </si>
  <si>
    <t xml:space="preserve">ASSAFA</t>
  </si>
  <si>
    <t xml:space="preserve">TIN MANSOUR</t>
  </si>
  <si>
    <t xml:space="preserve">IFRIANE</t>
  </si>
  <si>
    <t xml:space="preserve">HORTI</t>
  </si>
  <si>
    <t xml:space="preserve">AL AMAL</t>
  </si>
  <si>
    <t xml:space="preserve">NAKHIL</t>
  </si>
  <si>
    <t xml:space="preserve">TIFNIT</t>
  </si>
  <si>
    <t xml:space="preserve">AIT MIMOUN</t>
  </si>
  <si>
    <t xml:space="preserve">AGLOU </t>
  </si>
  <si>
    <t xml:space="preserve">EL KASABA</t>
  </si>
  <si>
    <t xml:space="preserve">SAMOURA </t>
  </si>
  <si>
    <t xml:space="preserve">BOUANAS 1</t>
  </si>
  <si>
    <t xml:space="preserve">BOUANAS 2</t>
  </si>
  <si>
    <t xml:space="preserve">BOUANAS 3</t>
  </si>
  <si>
    <t xml:space="preserve">BOUANAS 4</t>
  </si>
  <si>
    <t xml:space="preserve">TAKAD </t>
  </si>
  <si>
    <t xml:space="preserve">TAKAD 2</t>
  </si>
  <si>
    <t xml:space="preserve">TIN ADDI </t>
  </si>
  <si>
    <t xml:space="preserve">TASSAOUT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</si>
</sst>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_€_-;\-* #,##0.00\ _€_-;_-* \-??\ _€_-;_-@_-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b val="true"/>
      <sz val="1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 tint="0.3999"/>
        <bgColor rgb="FFFFFF9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selection pane="topLeft" activeCell="N1" activeCellId="0" sqref="N1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93986.5</v>
      </c>
      <c r="D2" s="9" t="n">
        <v>42504</v>
      </c>
      <c r="E2" s="9" t="n">
        <v>10800</v>
      </c>
      <c r="F2" s="9"/>
      <c r="G2" s="9" t="n">
        <v>22156.58</v>
      </c>
      <c r="H2" s="9" t="n">
        <v>385</v>
      </c>
      <c r="I2" s="9" t="n">
        <v>18140.92</v>
      </c>
      <c r="J2" s="9"/>
      <c r="K2" s="9" t="n">
        <f aca="false">(D2+E2+J2+G2+I2)/B2</f>
        <v>9709.69917012448</v>
      </c>
      <c r="L2" s="9" t="n">
        <f aca="false">(F2+H2)/B2</f>
        <v>39.9377593360996</v>
      </c>
      <c r="M2" s="9" t="n">
        <f aca="false">C2/B2</f>
        <v>9749.63692946058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55735.97</v>
      </c>
      <c r="D3" s="9" t="n">
        <v>35831</v>
      </c>
      <c r="E3" s="9"/>
      <c r="F3" s="9"/>
      <c r="G3" s="9" t="n">
        <v>9092.34</v>
      </c>
      <c r="H3" s="9" t="n">
        <v>3251</v>
      </c>
      <c r="I3" s="9" t="n">
        <v>7561.63</v>
      </c>
      <c r="J3" s="9"/>
      <c r="K3" s="9" t="n">
        <f aca="false">(D3+E3+J3+G3+I3)/B3</f>
        <v>6032.75517241379</v>
      </c>
      <c r="L3" s="9" t="n">
        <f aca="false">(F3+H3)/B3</f>
        <v>373.67816091954</v>
      </c>
      <c r="M3" s="9" t="n">
        <f aca="false">C3/B3</f>
        <v>6406.43333333333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4" customFormat="true" ht="55.5" hidden="false" customHeight="true" outlineLevel="0" collapsed="false">
      <c r="A4" s="11" t="s">
        <v>15</v>
      </c>
      <c r="B4" s="12" t="n">
        <v>6.4</v>
      </c>
      <c r="C4" s="13" t="n">
        <f aca="false">+D4+E4+F4+G4+H4+I4+J4</f>
        <v>63161.97</v>
      </c>
      <c r="D4" s="13" t="n">
        <v>35448</v>
      </c>
      <c r="E4" s="13" t="n">
        <v>11000</v>
      </c>
      <c r="F4" s="13"/>
      <c r="G4" s="13" t="n">
        <v>9092.34</v>
      </c>
      <c r="H4" s="13" t="n">
        <v>60</v>
      </c>
      <c r="I4" s="13" t="n">
        <v>7561.63</v>
      </c>
      <c r="J4" s="13"/>
      <c r="K4" s="13" t="n">
        <f aca="false">(D4+E4+J4+G4+I4)/B4</f>
        <v>9859.6828125</v>
      </c>
      <c r="L4" s="13" t="n">
        <f aca="false">(F4+H4)/B4</f>
        <v>9.375</v>
      </c>
      <c r="M4" s="13" t="n">
        <f aca="false">C4/B4</f>
        <v>9869.0578125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139750.67</v>
      </c>
      <c r="D5" s="9" t="n">
        <v>69720</v>
      </c>
      <c r="E5" s="9" t="n">
        <v>2760</v>
      </c>
      <c r="F5" s="9"/>
      <c r="G5" s="9" t="n">
        <v>25781.69</v>
      </c>
      <c r="H5" s="9" t="n">
        <v>871</v>
      </c>
      <c r="I5" s="9" t="n">
        <v>40617.98</v>
      </c>
      <c r="J5" s="9"/>
      <c r="K5" s="9" t="n">
        <f aca="false">(D5+E5+J5+G5+I5)/B5</f>
        <v>9289.61003344482</v>
      </c>
      <c r="L5" s="9" t="n">
        <f aca="false">(F5+H5)/B5</f>
        <v>58.2608695652174</v>
      </c>
      <c r="M5" s="9" t="n">
        <f aca="false">C5/B5</f>
        <v>9347.87090301003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41675.41</v>
      </c>
      <c r="D6" s="9" t="n">
        <v>14684</v>
      </c>
      <c r="E6" s="9"/>
      <c r="F6" s="9"/>
      <c r="G6" s="9" t="n">
        <v>13070.44</v>
      </c>
      <c r="H6" s="9"/>
      <c r="I6" s="9" t="n">
        <v>13920.97</v>
      </c>
      <c r="J6" s="9"/>
      <c r="K6" s="9" t="n">
        <f aca="false">(D6+E6+J6+G6+I6)/B6</f>
        <v>6411.60153846154</v>
      </c>
      <c r="L6" s="9" t="n">
        <f aca="false">(F6+H6)/B6</f>
        <v>0</v>
      </c>
      <c r="M6" s="9" t="n">
        <f aca="false">C6/B6</f>
        <v>6411.60153846154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66013.14</v>
      </c>
      <c r="D7" s="9" t="n">
        <v>17516</v>
      </c>
      <c r="E7" s="9" t="n">
        <v>12050</v>
      </c>
      <c r="F7" s="9"/>
      <c r="G7" s="9" t="n">
        <v>21232.44</v>
      </c>
      <c r="H7" s="9" t="n">
        <v>450</v>
      </c>
      <c r="I7" s="9" t="n">
        <v>14764.7</v>
      </c>
      <c r="J7" s="9"/>
      <c r="K7" s="9" t="n">
        <f aca="false">(D7+E7+J7+G7+I7)/B7</f>
        <v>6121.67507002801</v>
      </c>
      <c r="L7" s="9" t="n">
        <f aca="false">(F7+H7)/B7</f>
        <v>42.0168067226891</v>
      </c>
      <c r="M7" s="9" t="n">
        <f aca="false">C7/B7</f>
        <v>6163.6918767507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71015.64</v>
      </c>
      <c r="D8" s="9" t="n">
        <v>42216</v>
      </c>
      <c r="E8" s="9" t="n">
        <v>3150</v>
      </c>
      <c r="F8" s="9"/>
      <c r="G8" s="9" t="n">
        <v>7932.38</v>
      </c>
      <c r="H8" s="9" t="n">
        <v>618</v>
      </c>
      <c r="I8" s="9" t="n">
        <v>17099.26</v>
      </c>
      <c r="J8" s="9"/>
      <c r="K8" s="9" t="n">
        <f aca="false">(D8+E8+J8+G8+I8)/B8</f>
        <v>9750.36565096953</v>
      </c>
      <c r="L8" s="9" t="n">
        <f aca="false">(F8+H8)/B8</f>
        <v>85.595567867036</v>
      </c>
      <c r="M8" s="9" t="n">
        <f aca="false">C8/B8</f>
        <v>9835.96121883657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8" customFormat="true" ht="55.5" hidden="false" customHeight="true" outlineLevel="0" collapsed="false">
      <c r="A9" s="15" t="s">
        <v>20</v>
      </c>
      <c r="B9" s="16" t="n">
        <v>11.85</v>
      </c>
      <c r="C9" s="17" t="n">
        <f aca="false">+D9+E9+F9+G9+H9+I9+J9</f>
        <v>114090.53</v>
      </c>
      <c r="D9" s="17" t="n">
        <v>44463</v>
      </c>
      <c r="E9" s="17" t="n">
        <v>17300</v>
      </c>
      <c r="F9" s="17" t="n">
        <v>8775</v>
      </c>
      <c r="G9" s="17" t="n">
        <v>17860.35</v>
      </c>
      <c r="H9" s="17" t="n">
        <v>939</v>
      </c>
      <c r="I9" s="17" t="n">
        <v>24753.18</v>
      </c>
      <c r="J9" s="17"/>
      <c r="K9" s="17" t="n">
        <f aca="false">(D9+E9+J9+G9+I9)/B9</f>
        <v>8808.14599156118</v>
      </c>
      <c r="L9" s="17" t="n">
        <f aca="false">(F9+H9)/B9</f>
        <v>819.746835443038</v>
      </c>
      <c r="M9" s="17" t="n">
        <f aca="false">C9/B9</f>
        <v>9627.89282700422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132454.85</v>
      </c>
      <c r="D10" s="9" t="n">
        <v>69270</v>
      </c>
      <c r="E10" s="9" t="n">
        <v>16456</v>
      </c>
      <c r="F10" s="9"/>
      <c r="G10" s="9" t="n">
        <v>18810.42</v>
      </c>
      <c r="H10" s="9"/>
      <c r="I10" s="9" t="n">
        <v>27918.43</v>
      </c>
      <c r="J10" s="9"/>
      <c r="K10" s="9" t="n">
        <f aca="false">(D10+E10+J10+G10+I10)/B10</f>
        <v>14475.9398907104</v>
      </c>
      <c r="L10" s="9" t="n">
        <f aca="false">(F10+H10)/B10</f>
        <v>0</v>
      </c>
      <c r="M10" s="9" t="n">
        <f aca="false">C10/B10</f>
        <v>14475.9398907104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62289.66</v>
      </c>
      <c r="D11" s="9" t="n">
        <v>29846</v>
      </c>
      <c r="E11" s="9" t="n">
        <v>3600</v>
      </c>
      <c r="F11" s="9"/>
      <c r="G11" s="9" t="n">
        <v>11263.03</v>
      </c>
      <c r="H11" s="9"/>
      <c r="I11" s="9" t="n">
        <v>17580.63</v>
      </c>
      <c r="J11" s="9"/>
      <c r="K11" s="9" t="n">
        <f aca="false">(D11+E11+J11+G11+I11)/B11</f>
        <v>8196.00789473684</v>
      </c>
      <c r="L11" s="9" t="n">
        <f aca="false">(F11+H11)/B11</f>
        <v>0</v>
      </c>
      <c r="M11" s="9" t="n">
        <f aca="false">C11/B11</f>
        <v>8196.00789473684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121252.18</v>
      </c>
      <c r="D12" s="9" t="n">
        <v>61770</v>
      </c>
      <c r="E12" s="9" t="n">
        <v>18987</v>
      </c>
      <c r="F12" s="9"/>
      <c r="G12" s="9" t="n">
        <v>13054.92</v>
      </c>
      <c r="H12" s="9" t="n">
        <v>1500</v>
      </c>
      <c r="I12" s="9" t="n">
        <v>25940.26</v>
      </c>
      <c r="J12" s="9"/>
      <c r="K12" s="9" t="n">
        <f aca="false">(D12+E12+J12+G12+I12)/B12</f>
        <v>8553.72714285714</v>
      </c>
      <c r="L12" s="9" t="n">
        <f aca="false">(F12+H12)/B12</f>
        <v>107.142857142857</v>
      </c>
      <c r="M12" s="9" t="n">
        <f aca="false">C12/B12</f>
        <v>8660.87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19591.19</v>
      </c>
      <c r="D13" s="9" t="n">
        <v>8205</v>
      </c>
      <c r="E13" s="9"/>
      <c r="F13" s="9"/>
      <c r="G13" s="9" t="n">
        <v>6001.09</v>
      </c>
      <c r="H13" s="9" t="n">
        <v>478</v>
      </c>
      <c r="I13" s="9" t="n">
        <v>4907.1</v>
      </c>
      <c r="J13" s="9"/>
      <c r="K13" s="9" t="n">
        <f aca="false">(D13+E13+J13+G13+I13)/B13</f>
        <v>3206.9110738255</v>
      </c>
      <c r="L13" s="9" t="n">
        <f aca="false">(F13+H13)/B13</f>
        <v>80.2013422818792</v>
      </c>
      <c r="M13" s="9" t="n">
        <f aca="false">C13/B13</f>
        <v>3287.11241610738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53716.14</v>
      </c>
      <c r="D14" s="9" t="n">
        <v>38895</v>
      </c>
      <c r="E14" s="9"/>
      <c r="F14" s="9"/>
      <c r="G14" s="9" t="n">
        <v>5917.65</v>
      </c>
      <c r="H14" s="9"/>
      <c r="I14" s="9" t="n">
        <v>8903.49</v>
      </c>
      <c r="J14" s="9"/>
      <c r="K14" s="9" t="n">
        <f aca="false">(D14+E14+J14+G14+I14)/B14</f>
        <v>12208.2136363636</v>
      </c>
      <c r="L14" s="9" t="n">
        <f aca="false">(F14+H14)/B14</f>
        <v>0</v>
      </c>
      <c r="M14" s="9" t="n">
        <f aca="false">C14/B14</f>
        <v>12208.2136363636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106202.86</v>
      </c>
      <c r="D15" s="9" t="n">
        <v>60751</v>
      </c>
      <c r="E15" s="9" t="n">
        <v>12400</v>
      </c>
      <c r="F15" s="9"/>
      <c r="G15" s="9" t="n">
        <v>11860.37</v>
      </c>
      <c r="H15" s="9" t="n">
        <v>6600</v>
      </c>
      <c r="I15" s="9" t="n">
        <v>14591.49</v>
      </c>
      <c r="J15" s="9"/>
      <c r="K15" s="9" t="n">
        <f aca="false">(D15+E15+J15+G15+I15)/B15</f>
        <v>18687.2157598499</v>
      </c>
      <c r="L15" s="9" t="n">
        <f aca="false">(F15+H15)/B15</f>
        <v>1238.27392120075</v>
      </c>
      <c r="M15" s="9" t="n">
        <f aca="false">C15/B15</f>
        <v>19925.4896810507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142657.03</v>
      </c>
      <c r="D16" s="9" t="n">
        <v>88074</v>
      </c>
      <c r="E16" s="9" t="n">
        <v>15445</v>
      </c>
      <c r="F16" s="9"/>
      <c r="G16" s="9" t="n">
        <v>10007.53</v>
      </c>
      <c r="H16" s="9" t="n">
        <v>4800</v>
      </c>
      <c r="I16" s="9" t="n">
        <v>24330.5</v>
      </c>
      <c r="J16" s="9"/>
      <c r="K16" s="9" t="n">
        <f aca="false">(D16+E16+J16+G16+I16)/B16</f>
        <v>13384.1776699029</v>
      </c>
      <c r="L16" s="9" t="n">
        <f aca="false">(F16+H16)/B16</f>
        <v>466.019417475728</v>
      </c>
      <c r="M16" s="9" t="n">
        <f aca="false">C16/B16</f>
        <v>13850.1970873786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50819.72</v>
      </c>
      <c r="D17" s="9" t="n">
        <v>28890</v>
      </c>
      <c r="E17" s="9"/>
      <c r="F17" s="9"/>
      <c r="G17" s="9" t="n">
        <v>11707.29</v>
      </c>
      <c r="H17" s="9"/>
      <c r="I17" s="9" t="n">
        <v>10222.43</v>
      </c>
      <c r="J17" s="9"/>
      <c r="K17" s="9" t="n">
        <f aca="false">(D17+E17+J17+G17+I17)/B17</f>
        <v>8469.95333333333</v>
      </c>
      <c r="L17" s="9" t="n">
        <f aca="false">(F17+H17)/B17</f>
        <v>0</v>
      </c>
      <c r="M17" s="9" t="n">
        <f aca="false">C17/B17</f>
        <v>8469.95333333333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78314.47</v>
      </c>
      <c r="D18" s="9" t="n">
        <v>41396</v>
      </c>
      <c r="E18" s="9" t="n">
        <v>3200</v>
      </c>
      <c r="F18" s="9"/>
      <c r="G18" s="9" t="n">
        <v>15123.69</v>
      </c>
      <c r="H18" s="9" t="n">
        <v>3300</v>
      </c>
      <c r="I18" s="9" t="n">
        <v>15294.78</v>
      </c>
      <c r="J18" s="9"/>
      <c r="K18" s="9" t="n">
        <f aca="false">(D18+E18+J18+G18+I18)/B18</f>
        <v>9617.23974358974</v>
      </c>
      <c r="L18" s="9" t="n">
        <f aca="false">(F18+H18)/B18</f>
        <v>423.076923076923</v>
      </c>
      <c r="M18" s="9" t="n">
        <f aca="false">C18/B18</f>
        <v>10040.3166666667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56888.13</v>
      </c>
      <c r="D19" s="9" t="n">
        <v>35102</v>
      </c>
      <c r="E19" s="9"/>
      <c r="F19" s="9"/>
      <c r="G19" s="9" t="n">
        <v>9121.37</v>
      </c>
      <c r="H19" s="9" t="n">
        <v>450</v>
      </c>
      <c r="I19" s="9" t="n">
        <v>12214.76</v>
      </c>
      <c r="J19" s="9"/>
      <c r="K19" s="9" t="n">
        <f aca="false">(D19+E19+J19+G19+I19)/B19</f>
        <v>9406.355</v>
      </c>
      <c r="L19" s="9" t="n">
        <f aca="false">(F19+H19)/B19</f>
        <v>75</v>
      </c>
      <c r="M19" s="9" t="n">
        <f aca="false">C19/B19</f>
        <v>9481.355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114029.86</v>
      </c>
      <c r="D20" s="9" t="n">
        <v>67825</v>
      </c>
      <c r="E20" s="9" t="n">
        <v>16600</v>
      </c>
      <c r="F20" s="9"/>
      <c r="G20" s="9" t="n">
        <v>16918.23</v>
      </c>
      <c r="H20" s="9" t="n">
        <v>614</v>
      </c>
      <c r="I20" s="9" t="n">
        <v>12072.63</v>
      </c>
      <c r="J20" s="9"/>
      <c r="K20" s="9" t="n">
        <f aca="false">(D20+E20+J20+G20+I20)/B20</f>
        <v>20252.8321428571</v>
      </c>
      <c r="L20" s="9" t="n">
        <f aca="false">(F20+H20)/B20</f>
        <v>109.642857142857</v>
      </c>
      <c r="M20" s="9" t="n">
        <f aca="false">C20/B20</f>
        <v>20362.475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87757.1</v>
      </c>
      <c r="D21" s="9" t="n">
        <v>42571</v>
      </c>
      <c r="E21" s="9" t="n">
        <v>13495</v>
      </c>
      <c r="F21" s="9"/>
      <c r="G21" s="9" t="n">
        <v>16945.01</v>
      </c>
      <c r="H21" s="9" t="n">
        <v>3280</v>
      </c>
      <c r="I21" s="9" t="n">
        <v>11466.09</v>
      </c>
      <c r="J21" s="9"/>
      <c r="K21" s="9" t="n">
        <f aca="false">(D21+E21+J21+G21+I21)/B21</f>
        <v>11415.8243243243</v>
      </c>
      <c r="L21" s="9" t="n">
        <f aca="false">(F21+H21)/B21</f>
        <v>443.243243243243</v>
      </c>
      <c r="M21" s="9" t="n">
        <f aca="false">C21/B21</f>
        <v>11859.0675675676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159707.11</v>
      </c>
      <c r="D22" s="9" t="n">
        <v>103119</v>
      </c>
      <c r="E22" s="9" t="n">
        <v>16950</v>
      </c>
      <c r="F22" s="9"/>
      <c r="G22" s="9" t="n">
        <v>17513.87</v>
      </c>
      <c r="H22" s="9" t="n">
        <v>7561</v>
      </c>
      <c r="I22" s="9" t="n">
        <v>14563.24</v>
      </c>
      <c r="J22" s="9"/>
      <c r="K22" s="9" t="n">
        <f aca="false">(D22+E22+J22+G22+I22)/B22</f>
        <v>18486.7691373026</v>
      </c>
      <c r="L22" s="9" t="n">
        <f aca="false">(F22+H22)/B22</f>
        <v>918.712029161604</v>
      </c>
      <c r="M22" s="9" t="n">
        <f aca="false">C22/B22</f>
        <v>19405.4811664642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29015.75</v>
      </c>
      <c r="D23" s="9" t="n">
        <v>24293</v>
      </c>
      <c r="E23" s="9" t="n">
        <v>2800</v>
      </c>
      <c r="F23" s="9"/>
      <c r="G23" s="9" t="n">
        <v>1500.67</v>
      </c>
      <c r="H23" s="9"/>
      <c r="I23" s="9" t="n">
        <v>422.08</v>
      </c>
      <c r="J23" s="9"/>
      <c r="K23" s="9" t="n">
        <f aca="false">(D23+E23+J23+G23+I23)/B23</f>
        <v>7253.9375</v>
      </c>
      <c r="L23" s="9" t="n">
        <f aca="false">(F23+H23)/B23</f>
        <v>0</v>
      </c>
      <c r="M23" s="9" t="n">
        <f aca="false">C23/B23</f>
        <v>7253.9375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188099.18</v>
      </c>
      <c r="D24" s="9" t="n">
        <v>89586</v>
      </c>
      <c r="E24" s="9" t="n">
        <v>33125</v>
      </c>
      <c r="F24" s="20"/>
      <c r="G24" s="9" t="n">
        <v>26858.81</v>
      </c>
      <c r="H24" s="9" t="n">
        <v>3240</v>
      </c>
      <c r="I24" s="9" t="n">
        <v>35289.37</v>
      </c>
      <c r="J24" s="9"/>
      <c r="K24" s="9" t="n">
        <f aca="false">(D24+E24+J24+G24+I24)/B24</f>
        <v>9242.959</v>
      </c>
      <c r="L24" s="9" t="n">
        <f aca="false">(F24+H24)/B24</f>
        <v>162</v>
      </c>
      <c r="M24" s="9" t="n">
        <f aca="false">C24/B24</f>
        <v>9404.959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144170.14</v>
      </c>
      <c r="D25" s="9" t="n">
        <v>79514</v>
      </c>
      <c r="E25" s="9" t="n">
        <v>20420</v>
      </c>
      <c r="F25" s="9"/>
      <c r="G25" s="9" t="n">
        <v>22191.22</v>
      </c>
      <c r="H25" s="9"/>
      <c r="I25" s="9" t="n">
        <v>22044.92</v>
      </c>
      <c r="J25" s="9"/>
      <c r="K25" s="9" t="n">
        <f aca="false">(D25+E25+J25+G25+I25)/B25</f>
        <v>13287.5705069124</v>
      </c>
      <c r="L25" s="9" t="n">
        <f aca="false">(F25+H25)/B25</f>
        <v>0</v>
      </c>
      <c r="M25" s="9" t="n">
        <f aca="false">C25/B25</f>
        <v>13287.5705069124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4</v>
      </c>
      <c r="C26" s="9" t="n">
        <f aca="false">+D26+E26+F26+G26+H26+I26+J26</f>
        <v>22746.79</v>
      </c>
      <c r="D26" s="9" t="n">
        <v>7483</v>
      </c>
      <c r="E26" s="9"/>
      <c r="F26" s="9"/>
      <c r="G26" s="9" t="n">
        <v>7362.09</v>
      </c>
      <c r="H26" s="9"/>
      <c r="I26" s="9" t="n">
        <v>7901.7</v>
      </c>
      <c r="J26" s="9"/>
      <c r="K26" s="9" t="n">
        <f aca="false">(D26+E26+J26+G26+I26)/B26</f>
        <v>5686.6975</v>
      </c>
      <c r="L26" s="9" t="n">
        <f aca="false">(F26+H26)/B26</f>
        <v>0</v>
      </c>
      <c r="M26" s="9" t="n">
        <f aca="false">C26/B26</f>
        <v>5686.6975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54817.61</v>
      </c>
      <c r="D27" s="9" t="n">
        <v>35899</v>
      </c>
      <c r="E27" s="9"/>
      <c r="F27" s="9"/>
      <c r="G27" s="9" t="n">
        <v>7725.14</v>
      </c>
      <c r="H27" s="9" t="n">
        <v>1830</v>
      </c>
      <c r="I27" s="9" t="n">
        <v>9363.47</v>
      </c>
      <c r="J27" s="9"/>
      <c r="K27" s="9" t="n">
        <f aca="false">(D27+E27+J27+G27+I27)/B27</f>
        <v>9547.31711711712</v>
      </c>
      <c r="L27" s="9" t="n">
        <f aca="false">(F27+H27)/B27</f>
        <v>329.72972972973</v>
      </c>
      <c r="M27" s="9" t="n">
        <f aca="false">C27/B27</f>
        <v>9877.04684684685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59434.07</v>
      </c>
      <c r="D28" s="9" t="n">
        <v>42135</v>
      </c>
      <c r="E28" s="9"/>
      <c r="F28" s="9"/>
      <c r="G28" s="9" t="n">
        <v>5236.35</v>
      </c>
      <c r="H28" s="9" t="n">
        <v>1830</v>
      </c>
      <c r="I28" s="9" t="n">
        <v>10232.72</v>
      </c>
      <c r="J28" s="9"/>
      <c r="K28" s="9" t="n">
        <f aca="false">(D28+E28+J28+G28+I28)/B28</f>
        <v>9568.78239202658</v>
      </c>
      <c r="L28" s="9" t="n">
        <f aca="false">(F28+H28)/B28</f>
        <v>303.986710963455</v>
      </c>
      <c r="M28" s="9" t="n">
        <f aca="false">C28/B28</f>
        <v>9872.76910299003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25" customFormat="true" ht="55.5" hidden="false" customHeight="true" outlineLevel="0" collapsed="false">
      <c r="A29" s="22" t="s">
        <v>40</v>
      </c>
      <c r="B29" s="23" t="n">
        <v>11.5</v>
      </c>
      <c r="C29" s="24" t="n">
        <f aca="false">+D29+E29+F29+G29+H29+I29+J29</f>
        <v>166659.53</v>
      </c>
      <c r="D29" s="24" t="n">
        <v>102530</v>
      </c>
      <c r="E29" s="24" t="n">
        <v>32800</v>
      </c>
      <c r="F29" s="24"/>
      <c r="G29" s="24" t="n">
        <v>14178.95</v>
      </c>
      <c r="H29" s="24" t="n">
        <v>2880</v>
      </c>
      <c r="I29" s="24" t="n">
        <v>14270.58</v>
      </c>
      <c r="J29" s="24"/>
      <c r="K29" s="24" t="n">
        <f aca="false">(D29+E29+J29+G29+I29)/B29</f>
        <v>14241.6982608696</v>
      </c>
      <c r="L29" s="24" t="n">
        <f aca="false">(F29+H29)/B29</f>
        <v>250.434782608696</v>
      </c>
      <c r="M29" s="24" t="n">
        <f aca="false">C29/B29</f>
        <v>14492.1330434783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45934.7</v>
      </c>
      <c r="D30" s="26" t="n">
        <v>28055</v>
      </c>
      <c r="E30" s="9"/>
      <c r="F30" s="9"/>
      <c r="G30" s="9" t="n">
        <v>6451.81</v>
      </c>
      <c r="H30" s="9"/>
      <c r="I30" s="9" t="n">
        <v>11427.89</v>
      </c>
      <c r="J30" s="9"/>
      <c r="K30" s="9" t="n">
        <f aca="false">(D30+E30+J30+G30+I30)/B30</f>
        <v>7408.82258064516</v>
      </c>
      <c r="L30" s="9" t="n">
        <f aca="false">(F30+H30)/B30</f>
        <v>0</v>
      </c>
      <c r="M30" s="9" t="n">
        <f aca="false">C30/B30</f>
        <v>7408.82258064516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44712.22</v>
      </c>
      <c r="D31" s="9" t="n">
        <v>26255</v>
      </c>
      <c r="E31" s="9"/>
      <c r="F31" s="9"/>
      <c r="G31" s="9" t="n">
        <v>10104.61</v>
      </c>
      <c r="H31" s="9" t="n">
        <v>1800</v>
      </c>
      <c r="I31" s="9" t="n">
        <v>6552.61</v>
      </c>
      <c r="J31" s="9"/>
      <c r="K31" s="9" t="n">
        <f aca="false">(D31+E31+J31+G31+I31)/B31</f>
        <v>8096.64528301887</v>
      </c>
      <c r="L31" s="9" t="n">
        <f aca="false">(F31+H31)/B31</f>
        <v>339.622641509434</v>
      </c>
      <c r="M31" s="9" t="n">
        <f aca="false">C31/B31</f>
        <v>8436.2679245283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360668.66</v>
      </c>
      <c r="D32" s="9" t="n">
        <v>271256</v>
      </c>
      <c r="E32" s="9" t="n">
        <v>42300</v>
      </c>
      <c r="F32" s="9"/>
      <c r="G32" s="9" t="n">
        <v>14414.31</v>
      </c>
      <c r="H32" s="9" t="n">
        <v>1800</v>
      </c>
      <c r="I32" s="9" t="n">
        <v>30898.35</v>
      </c>
      <c r="J32" s="9"/>
      <c r="K32" s="9" t="n">
        <f aca="false">(D32+E32+J32+G32+I32)/B32</f>
        <v>24749.5627586207</v>
      </c>
      <c r="L32" s="9" t="n">
        <f aca="false">(F32+H32)/B32</f>
        <v>124.137931034483</v>
      </c>
      <c r="M32" s="9" t="n">
        <f aca="false">C32/B32</f>
        <v>24873.7006896552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O7"/>
  <printOptions headings="false" gridLines="false" gridLinesSet="true" horizontalCentered="false" verticalCentered="false"/>
  <pageMargins left="0" right="0" top="0.196527777777778" bottom="0.157638888888889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selection pane="top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169768.78</v>
      </c>
      <c r="D2" s="9" t="n">
        <v>76918</v>
      </c>
      <c r="E2" s="9" t="n">
        <v>12900</v>
      </c>
      <c r="F2" s="9" t="n">
        <v>37100</v>
      </c>
      <c r="G2" s="9" t="n">
        <v>22156.62</v>
      </c>
      <c r="H2" s="9" t="n">
        <v>3750</v>
      </c>
      <c r="I2" s="9" t="n">
        <v>16944.16</v>
      </c>
      <c r="J2" s="9"/>
      <c r="K2" s="9" t="n">
        <f aca="false">(D2+E2+J2+G2+I2)/B2</f>
        <v>13373.3174273859</v>
      </c>
      <c r="L2" s="9" t="n">
        <f aca="false">(F2+H2)/B2</f>
        <v>4237.55186721992</v>
      </c>
      <c r="M2" s="9" t="n">
        <f aca="false">C2/B2</f>
        <v>17610.8692946058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61206.06</v>
      </c>
      <c r="D3" s="9" t="n">
        <v>43700</v>
      </c>
      <c r="E3" s="9"/>
      <c r="F3" s="9"/>
      <c r="G3" s="9" t="n">
        <v>8291.52</v>
      </c>
      <c r="H3" s="9" t="n">
        <v>3150</v>
      </c>
      <c r="I3" s="9" t="n">
        <v>6064.54</v>
      </c>
      <c r="J3" s="9"/>
      <c r="K3" s="9" t="n">
        <f aca="false">(D3+E3+J3+G3+I3)/B3</f>
        <v>6673.11034482759</v>
      </c>
      <c r="L3" s="9" t="n">
        <f aca="false">(F3+H3)/B3</f>
        <v>362.068965517241</v>
      </c>
      <c r="M3" s="9" t="n">
        <f aca="false">C3/B3</f>
        <v>7035.17931034483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59036.06</v>
      </c>
      <c r="D4" s="9" t="n">
        <v>34540</v>
      </c>
      <c r="E4" s="9" t="n">
        <v>8700</v>
      </c>
      <c r="F4" s="9"/>
      <c r="G4" s="9" t="n">
        <v>8291.52</v>
      </c>
      <c r="H4" s="9" t="n">
        <v>1440</v>
      </c>
      <c r="I4" s="9" t="n">
        <v>6064.54</v>
      </c>
      <c r="J4" s="9"/>
      <c r="K4" s="9" t="n">
        <f aca="false">(D4+E4+J4+G4+I4)/B4</f>
        <v>8999.384375</v>
      </c>
      <c r="L4" s="9" t="n">
        <f aca="false">(F4+H4)/B4</f>
        <v>225</v>
      </c>
      <c r="M4" s="9" t="n">
        <f aca="false">C4/B4</f>
        <v>9224.384375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162668.15</v>
      </c>
      <c r="D5" s="9" t="n">
        <v>94099</v>
      </c>
      <c r="E5" s="9"/>
      <c r="F5" s="9"/>
      <c r="G5" s="9" t="n">
        <v>25781.65</v>
      </c>
      <c r="H5" s="9" t="n">
        <v>8530</v>
      </c>
      <c r="I5" s="9" t="n">
        <v>34257.5</v>
      </c>
      <c r="J5" s="9"/>
      <c r="K5" s="9" t="n">
        <f aca="false">(D5+E5+J5+G5+I5)/B5</f>
        <v>10310.2441471572</v>
      </c>
      <c r="L5" s="9" t="n">
        <f aca="false">(F5+H5)/B5</f>
        <v>570.56856187291</v>
      </c>
      <c r="M5" s="9" t="n">
        <f aca="false">C5/B5</f>
        <v>10880.8127090301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59974.17</v>
      </c>
      <c r="D6" s="9" t="n">
        <v>30170</v>
      </c>
      <c r="E6" s="9"/>
      <c r="F6" s="9"/>
      <c r="G6" s="9" t="n">
        <v>13070.4</v>
      </c>
      <c r="H6" s="9" t="n">
        <v>2120</v>
      </c>
      <c r="I6" s="9" t="n">
        <v>14613.77</v>
      </c>
      <c r="J6" s="9"/>
      <c r="K6" s="9" t="n">
        <f aca="false">(D6+E6+J6+G6+I6)/B6</f>
        <v>8900.64153846154</v>
      </c>
      <c r="L6" s="9" t="n">
        <f aca="false">(F6+H6)/B6</f>
        <v>326.153846153846</v>
      </c>
      <c r="M6" s="9" t="n">
        <f aca="false">C6/B6</f>
        <v>9226.79538461539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81826.38</v>
      </c>
      <c r="D7" s="9" t="n">
        <v>27482</v>
      </c>
      <c r="E7" s="9" t="n">
        <v>9520</v>
      </c>
      <c r="F7" s="9"/>
      <c r="G7" s="9" t="n">
        <v>21232.5</v>
      </c>
      <c r="H7" s="9" t="n">
        <v>9390</v>
      </c>
      <c r="I7" s="9" t="n">
        <v>14201.88</v>
      </c>
      <c r="J7" s="9"/>
      <c r="K7" s="9" t="n">
        <f aca="false">(D7+E7+J7+G7+I7)/B7</f>
        <v>6763.43417366947</v>
      </c>
      <c r="L7" s="9" t="n">
        <f aca="false">(F7+H7)/B7</f>
        <v>876.750700280112</v>
      </c>
      <c r="M7" s="9" t="n">
        <f aca="false">C7/B7</f>
        <v>7640.18487394958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82949.92</v>
      </c>
      <c r="D8" s="9" t="n">
        <v>57412</v>
      </c>
      <c r="E8" s="9"/>
      <c r="F8" s="9"/>
      <c r="G8" s="9" t="n">
        <v>7932.38</v>
      </c>
      <c r="H8" s="9" t="n">
        <v>3855</v>
      </c>
      <c r="I8" s="9" t="n">
        <v>13750.54</v>
      </c>
      <c r="J8" s="9"/>
      <c r="K8" s="9" t="n">
        <f aca="false">(D8+E8+J8+G8+I8)/B8</f>
        <v>10954.9750692521</v>
      </c>
      <c r="L8" s="9" t="n">
        <f aca="false">(F8+H8)/B8</f>
        <v>533.93351800554</v>
      </c>
      <c r="M8" s="9" t="n">
        <f aca="false">C8/B8</f>
        <v>11488.9085872576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121646.9</v>
      </c>
      <c r="D9" s="9" t="n">
        <v>55233</v>
      </c>
      <c r="E9" s="9" t="n">
        <v>22850</v>
      </c>
      <c r="F9" s="9"/>
      <c r="G9" s="9" t="n">
        <v>17860.31</v>
      </c>
      <c r="H9" s="9" t="n">
        <v>6553</v>
      </c>
      <c r="I9" s="9" t="n">
        <v>19150.59</v>
      </c>
      <c r="J9" s="9"/>
      <c r="K9" s="9" t="n">
        <f aca="false">(D9+E9+J9+G9+I9)/B9</f>
        <v>9712.56540084388</v>
      </c>
      <c r="L9" s="9" t="n">
        <f aca="false">(F9+H9)/B9</f>
        <v>552.995780590717</v>
      </c>
      <c r="M9" s="9" t="n">
        <f aca="false">C9/B9</f>
        <v>10265.5611814346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132677.14</v>
      </c>
      <c r="D10" s="9" t="n">
        <v>73712</v>
      </c>
      <c r="E10" s="9" t="n">
        <v>7554</v>
      </c>
      <c r="F10" s="9"/>
      <c r="G10" s="9" t="n">
        <v>18810.46</v>
      </c>
      <c r="H10" s="9" t="n">
        <v>5880</v>
      </c>
      <c r="I10" s="9" t="n">
        <v>26720.68</v>
      </c>
      <c r="J10" s="9"/>
      <c r="K10" s="9" t="n">
        <f aca="false">(D10+E10+J10+G10+I10)/B10</f>
        <v>13857.6109289617</v>
      </c>
      <c r="L10" s="9" t="n">
        <f aca="false">(F10+H10)/B10</f>
        <v>642.622950819672</v>
      </c>
      <c r="M10" s="9" t="n">
        <f aca="false">C10/B10</f>
        <v>14500.2338797814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91339.4</v>
      </c>
      <c r="D11" s="9" t="n">
        <v>57329</v>
      </c>
      <c r="E11" s="9"/>
      <c r="F11" s="9"/>
      <c r="G11" s="9" t="n">
        <v>11263</v>
      </c>
      <c r="H11" s="9" t="n">
        <v>5452</v>
      </c>
      <c r="I11" s="9" t="n">
        <v>17295.4</v>
      </c>
      <c r="J11" s="9"/>
      <c r="K11" s="9" t="n">
        <f aca="false">(D11+E11+J11+G11+I11)/B11</f>
        <v>11300.9736842105</v>
      </c>
      <c r="L11" s="9" t="n">
        <f aca="false">(F11+H11)/B11</f>
        <v>717.368421052632</v>
      </c>
      <c r="M11" s="9" t="n">
        <f aca="false">C11/B11</f>
        <v>12018.3421052632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116412.81</v>
      </c>
      <c r="D12" s="9" t="n">
        <v>57774</v>
      </c>
      <c r="E12" s="9" t="n">
        <v>15755</v>
      </c>
      <c r="F12" s="9"/>
      <c r="G12" s="9" t="n">
        <v>13054.88</v>
      </c>
      <c r="H12" s="9" t="n">
        <v>7175</v>
      </c>
      <c r="I12" s="9" t="n">
        <v>22653.93</v>
      </c>
      <c r="J12" s="9"/>
      <c r="K12" s="9" t="n">
        <f aca="false">(D12+E12+J12+G12+I12)/B12</f>
        <v>7802.70071428571</v>
      </c>
      <c r="L12" s="9" t="n">
        <f aca="false">(F12+H12)/B12</f>
        <v>512.5</v>
      </c>
      <c r="M12" s="9" t="n">
        <f aca="false">C12/B12</f>
        <v>8315.20071428572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20712.25</v>
      </c>
      <c r="D13" s="9" t="n">
        <v>7534</v>
      </c>
      <c r="E13" s="9"/>
      <c r="F13" s="9"/>
      <c r="G13" s="9" t="n">
        <v>6001.09</v>
      </c>
      <c r="H13" s="9" t="n">
        <v>1520</v>
      </c>
      <c r="I13" s="9" t="n">
        <v>5657.16</v>
      </c>
      <c r="J13" s="9"/>
      <c r="K13" s="9" t="n">
        <f aca="false">(D13+E13+J13+G13+I13)/B13</f>
        <v>3220.17617449664</v>
      </c>
      <c r="L13" s="9" t="n">
        <f aca="false">(F13+H13)/B13</f>
        <v>255.03355704698</v>
      </c>
      <c r="M13" s="9" t="n">
        <f aca="false">C13/B13</f>
        <v>3475.20973154362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54670.27</v>
      </c>
      <c r="D14" s="9" t="n">
        <v>40554</v>
      </c>
      <c r="E14" s="9"/>
      <c r="F14" s="9"/>
      <c r="G14" s="9" t="n">
        <v>3950.29</v>
      </c>
      <c r="H14" s="9" t="n">
        <v>4342</v>
      </c>
      <c r="I14" s="9" t="n">
        <v>5823.98</v>
      </c>
      <c r="J14" s="9"/>
      <c r="K14" s="9" t="n">
        <f aca="false">(D14+E14+J14+G14+I14)/B14</f>
        <v>11438.2431818182</v>
      </c>
      <c r="L14" s="9" t="n">
        <f aca="false">(F14+H14)/B14</f>
        <v>986.818181818182</v>
      </c>
      <c r="M14" s="9" t="n">
        <f aca="false">C14/B14</f>
        <v>12425.0613636364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114175.86</v>
      </c>
      <c r="D15" s="9" t="n">
        <v>67232</v>
      </c>
      <c r="E15" s="9" t="n">
        <v>9100</v>
      </c>
      <c r="F15" s="9"/>
      <c r="G15" s="9" t="n">
        <v>15016.38</v>
      </c>
      <c r="H15" s="9" t="n">
        <v>4950</v>
      </c>
      <c r="I15" s="9" t="n">
        <v>17877.48</v>
      </c>
      <c r="J15" s="9"/>
      <c r="K15" s="9" t="n">
        <f aca="false">(D15+E15+J15+G15+I15)/B15</f>
        <v>20492.6566604128</v>
      </c>
      <c r="L15" s="9" t="n">
        <f aca="false">(F15+H15)/B15</f>
        <v>928.705440900563</v>
      </c>
      <c r="M15" s="9" t="n">
        <f aca="false">C15/B15</f>
        <v>21421.3621013133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164894.22</v>
      </c>
      <c r="D16" s="9" t="n">
        <v>105685</v>
      </c>
      <c r="E16" s="9" t="n">
        <v>20450</v>
      </c>
      <c r="F16" s="9"/>
      <c r="G16" s="9" t="n">
        <v>10007.53</v>
      </c>
      <c r="H16" s="9" t="n">
        <v>5797</v>
      </c>
      <c r="I16" s="9" t="n">
        <v>22954.69</v>
      </c>
      <c r="J16" s="9"/>
      <c r="K16" s="9" t="n">
        <f aca="false">(D16+E16+J16+G16+I16)/B16</f>
        <v>15446.332038835</v>
      </c>
      <c r="L16" s="9" t="n">
        <f aca="false">(F16+H16)/B16</f>
        <v>562.815533980583</v>
      </c>
      <c r="M16" s="9" t="n">
        <f aca="false">C16/B16</f>
        <v>16009.1475728155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57371.34</v>
      </c>
      <c r="D17" s="9" t="n">
        <v>34285</v>
      </c>
      <c r="E17" s="9"/>
      <c r="F17" s="9"/>
      <c r="G17" s="9" t="n">
        <v>13040.98</v>
      </c>
      <c r="H17" s="9" t="n">
        <v>1626</v>
      </c>
      <c r="I17" s="9" t="n">
        <v>8419.36</v>
      </c>
      <c r="J17" s="9"/>
      <c r="K17" s="9" t="n">
        <f aca="false">(D17+E17+J17+G17+I17)/B17</f>
        <v>9290.89</v>
      </c>
      <c r="L17" s="9" t="n">
        <f aca="false">(F17+H17)/B17</f>
        <v>271</v>
      </c>
      <c r="M17" s="9" t="n">
        <f aca="false">C17/B17</f>
        <v>9561.89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104635.46</v>
      </c>
      <c r="D18" s="9" t="n">
        <v>53463</v>
      </c>
      <c r="E18" s="9"/>
      <c r="F18" s="9"/>
      <c r="G18" s="9" t="n">
        <v>13390.6</v>
      </c>
      <c r="H18" s="9" t="n">
        <v>19243.96</v>
      </c>
      <c r="I18" s="9" t="n">
        <v>18537.9</v>
      </c>
      <c r="J18" s="9"/>
      <c r="K18" s="9" t="n">
        <f aca="false">(D18+E18+J18+G18+I18)/B18</f>
        <v>10947.6282051282</v>
      </c>
      <c r="L18" s="9" t="n">
        <f aca="false">(F18+H18)/B18</f>
        <v>2467.17435897436</v>
      </c>
      <c r="M18" s="9" t="n">
        <f aca="false">C18/B18</f>
        <v>13414.8025641026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65635.35</v>
      </c>
      <c r="D19" s="9" t="n">
        <v>37683</v>
      </c>
      <c r="E19" s="9"/>
      <c r="F19" s="9"/>
      <c r="G19" s="9" t="n">
        <v>9987.98</v>
      </c>
      <c r="H19" s="9" t="n">
        <v>6733</v>
      </c>
      <c r="I19" s="9" t="n">
        <v>11231.37</v>
      </c>
      <c r="J19" s="9"/>
      <c r="K19" s="9" t="n">
        <f aca="false">(D19+E19+J19+G19+I19)/B19</f>
        <v>9817.05833333333</v>
      </c>
      <c r="L19" s="9" t="n">
        <f aca="false">(F19+H19)/B19</f>
        <v>1122.16666666667</v>
      </c>
      <c r="M19" s="9" t="n">
        <f aca="false">C19/B19</f>
        <v>10939.225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89991.8</v>
      </c>
      <c r="D20" s="9" t="n">
        <v>40711</v>
      </c>
      <c r="E20" s="9" t="n">
        <v>15800</v>
      </c>
      <c r="F20" s="9"/>
      <c r="G20" s="9" t="n">
        <v>16918.19</v>
      </c>
      <c r="H20" s="9" t="n">
        <v>4172</v>
      </c>
      <c r="I20" s="9" t="n">
        <v>12390.61</v>
      </c>
      <c r="J20" s="9"/>
      <c r="K20" s="9" t="n">
        <f aca="false">(D20+E20+J20+G20+I20)/B20</f>
        <v>15324.9642857143</v>
      </c>
      <c r="L20" s="9" t="n">
        <f aca="false">(F20+H20)/B20</f>
        <v>745</v>
      </c>
      <c r="M20" s="9" t="n">
        <f aca="false">C20/B20</f>
        <v>16069.9642857143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120963.55</v>
      </c>
      <c r="D21" s="9" t="n">
        <v>70850</v>
      </c>
      <c r="E21" s="9" t="n">
        <v>16300</v>
      </c>
      <c r="F21" s="9"/>
      <c r="G21" s="9" t="n">
        <v>16945.03</v>
      </c>
      <c r="H21" s="9" t="n">
        <v>5124</v>
      </c>
      <c r="I21" s="9" t="n">
        <v>11744.52</v>
      </c>
      <c r="J21" s="9"/>
      <c r="K21" s="9" t="n">
        <f aca="false">(D21+E21+J21+G21+I21)/B21</f>
        <v>15653.9932432432</v>
      </c>
      <c r="L21" s="9" t="n">
        <f aca="false">(F21+H21)/B21</f>
        <v>692.432432432432</v>
      </c>
      <c r="M21" s="9" t="n">
        <f aca="false">C21/B21</f>
        <v>16346.4256756757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188743.72</v>
      </c>
      <c r="D22" s="9" t="n">
        <v>131696</v>
      </c>
      <c r="E22" s="9" t="n">
        <v>16950</v>
      </c>
      <c r="F22" s="9"/>
      <c r="G22" s="9" t="n">
        <v>17513.88</v>
      </c>
      <c r="H22" s="9" t="n">
        <v>7562</v>
      </c>
      <c r="I22" s="9" t="n">
        <v>15021.84</v>
      </c>
      <c r="J22" s="9"/>
      <c r="K22" s="9" t="n">
        <f aca="false">(D22+E22+J22+G22+I22)/B22</f>
        <v>22014.7897934386</v>
      </c>
      <c r="L22" s="9" t="n">
        <f aca="false">(F22+H22)/B22</f>
        <v>918.833535844471</v>
      </c>
      <c r="M22" s="9" t="n">
        <f aca="false">C22/B22</f>
        <v>22933.6233292831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40726.69</v>
      </c>
      <c r="D23" s="9" t="n">
        <v>25484</v>
      </c>
      <c r="E23" s="9" t="n">
        <v>3200</v>
      </c>
      <c r="F23" s="9"/>
      <c r="G23" s="9" t="n">
        <v>1500.63</v>
      </c>
      <c r="H23" s="9" t="n">
        <v>10120</v>
      </c>
      <c r="I23" s="9" t="n">
        <v>422.06</v>
      </c>
      <c r="J23" s="9"/>
      <c r="K23" s="9" t="n">
        <f aca="false">(D23+E23+J23+G23+I23)/B23</f>
        <v>7651.6725</v>
      </c>
      <c r="L23" s="9" t="n">
        <f aca="false">(F23+H23)/B23</f>
        <v>2530</v>
      </c>
      <c r="M23" s="9" t="n">
        <f aca="false">C23/B23</f>
        <v>10181.6725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255744.37</v>
      </c>
      <c r="D24" s="9" t="n">
        <v>124943</v>
      </c>
      <c r="E24" s="9" t="n">
        <v>28025</v>
      </c>
      <c r="F24" s="20" t="n">
        <v>35800</v>
      </c>
      <c r="G24" s="9" t="n">
        <v>27358.49</v>
      </c>
      <c r="H24" s="9" t="n">
        <v>6360</v>
      </c>
      <c r="I24" s="9" t="n">
        <v>33257.88</v>
      </c>
      <c r="J24" s="9"/>
      <c r="K24" s="9" t="n">
        <f aca="false">(D24+E24+J24+G24+I24)/B24</f>
        <v>10679.2185</v>
      </c>
      <c r="L24" s="9" t="n">
        <f aca="false">(F24+H24)/B24</f>
        <v>2108</v>
      </c>
      <c r="M24" s="9" t="n">
        <f aca="false">C24/B24</f>
        <v>12787.2185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143211.17</v>
      </c>
      <c r="D25" s="9" t="n">
        <v>76070</v>
      </c>
      <c r="E25" s="9" t="n">
        <v>18035</v>
      </c>
      <c r="F25" s="9"/>
      <c r="G25" s="9" t="n">
        <v>21191.18</v>
      </c>
      <c r="H25" s="9" t="n">
        <v>5714</v>
      </c>
      <c r="I25" s="9" t="n">
        <v>22200.99</v>
      </c>
      <c r="J25" s="9"/>
      <c r="K25" s="9" t="n">
        <f aca="false">(D25+E25+J25+G25+I25)/B25</f>
        <v>12672.5502304147</v>
      </c>
      <c r="L25" s="9" t="n">
        <f aca="false">(F25+H25)/B25</f>
        <v>526.635944700461</v>
      </c>
      <c r="M25" s="9" t="n">
        <f aca="false">C25/B25</f>
        <v>13199.1861751152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4</v>
      </c>
      <c r="C26" s="9" t="n">
        <f aca="false">+D26+E26+F26+G26+H26+I26+J26</f>
        <v>27761.45</v>
      </c>
      <c r="D26" s="9" t="n">
        <v>4150</v>
      </c>
      <c r="E26" s="9" t="n">
        <v>5505</v>
      </c>
      <c r="F26" s="9"/>
      <c r="G26" s="9" t="n">
        <v>7362.14</v>
      </c>
      <c r="H26" s="9" t="n">
        <v>2856</v>
      </c>
      <c r="I26" s="9" t="n">
        <v>7888.31</v>
      </c>
      <c r="J26" s="9"/>
      <c r="K26" s="9" t="n">
        <f aca="false">(D26+E26+J26+G26+I26)/B26</f>
        <v>6226.3625</v>
      </c>
      <c r="L26" s="9" t="n">
        <f aca="false">(F26+H26)/B26</f>
        <v>714</v>
      </c>
      <c r="M26" s="9" t="n">
        <f aca="false">C26/B26</f>
        <v>6940.3625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74768.69</v>
      </c>
      <c r="D27" s="9" t="n">
        <v>28495</v>
      </c>
      <c r="E27" s="9"/>
      <c r="F27" s="9"/>
      <c r="G27" s="9" t="n">
        <v>7725.08</v>
      </c>
      <c r="H27" s="9" t="n">
        <v>28435</v>
      </c>
      <c r="I27" s="9" t="n">
        <v>10113.61</v>
      </c>
      <c r="J27" s="9"/>
      <c r="K27" s="9" t="n">
        <f aca="false">(D27+E27+J27+G27+I27)/B27</f>
        <v>8348.41261261261</v>
      </c>
      <c r="L27" s="9" t="n">
        <f aca="false">(F27+H27)/B27</f>
        <v>5123.42342342342</v>
      </c>
      <c r="M27" s="9" t="n">
        <f aca="false">C27/B27</f>
        <v>13471.836036036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54017.24</v>
      </c>
      <c r="D28" s="9" t="n">
        <v>35510</v>
      </c>
      <c r="E28" s="9"/>
      <c r="F28" s="9"/>
      <c r="G28" s="9" t="n">
        <v>5234.35</v>
      </c>
      <c r="H28" s="9" t="n">
        <v>2695</v>
      </c>
      <c r="I28" s="9" t="n">
        <v>10577.89</v>
      </c>
      <c r="J28" s="9"/>
      <c r="K28" s="9" t="n">
        <f aca="false">(D28+E28+J28+G28+I28)/B28</f>
        <v>8525.28903654485</v>
      </c>
      <c r="L28" s="9" t="n">
        <f aca="false">(F28+H28)/B28</f>
        <v>447.674418604651</v>
      </c>
      <c r="M28" s="9" t="n">
        <f aca="false">C28/B28</f>
        <v>8972.9634551495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173001.31</v>
      </c>
      <c r="D29" s="9" t="n">
        <v>104029</v>
      </c>
      <c r="E29" s="9" t="n">
        <v>35700</v>
      </c>
      <c r="F29" s="9"/>
      <c r="G29" s="9" t="n">
        <v>14178.95</v>
      </c>
      <c r="H29" s="9" t="n">
        <v>5152</v>
      </c>
      <c r="I29" s="9" t="n">
        <v>13941.36</v>
      </c>
      <c r="J29" s="9"/>
      <c r="K29" s="9" t="n">
        <f aca="false">(D29+E29+J29+G29+I29)/B29</f>
        <v>14595.592173913</v>
      </c>
      <c r="L29" s="9" t="n">
        <f aca="false">(F29+H29)/B29</f>
        <v>448</v>
      </c>
      <c r="M29" s="9" t="n">
        <f aca="false">C29/B29</f>
        <v>15043.592173913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51494.65</v>
      </c>
      <c r="D30" s="26" t="n">
        <v>33352</v>
      </c>
      <c r="E30" s="9"/>
      <c r="F30" s="9"/>
      <c r="G30" s="9" t="n">
        <v>6451.66</v>
      </c>
      <c r="H30" s="9" t="n">
        <v>1112</v>
      </c>
      <c r="I30" s="9" t="n">
        <v>10578.99</v>
      </c>
      <c r="J30" s="9"/>
      <c r="K30" s="9" t="n">
        <f aca="false">(D30+E30+J30+G30+I30)/B30</f>
        <v>8126.23387096774</v>
      </c>
      <c r="L30" s="9" t="n">
        <f aca="false">(F30+H30)/B30</f>
        <v>179.354838709677</v>
      </c>
      <c r="M30" s="9" t="n">
        <f aca="false">C30/B30</f>
        <v>8305.58870967742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42820.19</v>
      </c>
      <c r="D31" s="9" t="n">
        <v>23685</v>
      </c>
      <c r="E31" s="9"/>
      <c r="F31" s="9"/>
      <c r="G31" s="9" t="n">
        <v>10104.61</v>
      </c>
      <c r="H31" s="9" t="n">
        <v>3240</v>
      </c>
      <c r="I31" s="9" t="n">
        <v>5790.58</v>
      </c>
      <c r="J31" s="9"/>
      <c r="K31" s="9" t="n">
        <f aca="false">(D31+E31+J31+G31+I31)/B31</f>
        <v>7467.96037735849</v>
      </c>
      <c r="L31" s="9" t="n">
        <f aca="false">(F31+H31)/B31</f>
        <v>611.320754716981</v>
      </c>
      <c r="M31" s="9" t="n">
        <f aca="false">C31/B31</f>
        <v>8079.28113207547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351145.2</v>
      </c>
      <c r="D32" s="9" t="n">
        <v>242455</v>
      </c>
      <c r="E32" s="9" t="n">
        <v>41920</v>
      </c>
      <c r="F32" s="9"/>
      <c r="G32" s="9" t="n">
        <v>14506.71</v>
      </c>
      <c r="H32" s="9" t="n">
        <v>14104</v>
      </c>
      <c r="I32" s="9" t="n">
        <v>38159.49</v>
      </c>
      <c r="J32" s="9"/>
      <c r="K32" s="9" t="n">
        <f aca="false">(D32+E32+J32+G32+I32)/B32</f>
        <v>23244.2206896552</v>
      </c>
      <c r="L32" s="9" t="n">
        <f aca="false">(F32+H32)/B32</f>
        <v>972.689655172414</v>
      </c>
      <c r="M32" s="9" t="n">
        <f aca="false">C32/B32</f>
        <v>24216.9103448276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25" colorId="64" zoomScale="118" zoomScaleNormal="118" zoomScalePageLayoutView="100" workbookViewId="0">
      <selection pane="top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120808.78</v>
      </c>
      <c r="D2" s="9" t="n">
        <v>65651</v>
      </c>
      <c r="E2" s="9" t="n">
        <v>7700</v>
      </c>
      <c r="F2" s="9"/>
      <c r="G2" s="9" t="n">
        <v>22156.62</v>
      </c>
      <c r="H2" s="9" t="n">
        <v>8357</v>
      </c>
      <c r="I2" s="9" t="n">
        <v>16944.16</v>
      </c>
      <c r="J2" s="9"/>
      <c r="K2" s="9" t="n">
        <f aca="false">(D2+E2+J2+G2+I2)/B2</f>
        <v>11665.122406639</v>
      </c>
      <c r="L2" s="9" t="n">
        <f aca="false">(F2+H2)/B2</f>
        <v>866.908713692946</v>
      </c>
      <c r="M2" s="9" t="n">
        <f aca="false">C2/B2</f>
        <v>12532.0311203319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65182.06</v>
      </c>
      <c r="D3" s="9" t="n">
        <v>50826</v>
      </c>
      <c r="E3" s="9"/>
      <c r="F3" s="9"/>
      <c r="G3" s="9" t="n">
        <v>8291.52</v>
      </c>
      <c r="H3" s="9"/>
      <c r="I3" s="9" t="n">
        <v>6064.54</v>
      </c>
      <c r="J3" s="9"/>
      <c r="K3" s="9" t="n">
        <f aca="false">(D3+E3+J3+G3+I3)/B3</f>
        <v>7492.1908045977</v>
      </c>
      <c r="L3" s="9" t="n">
        <f aca="false">(F3+H3)/B3</f>
        <v>0</v>
      </c>
      <c r="M3" s="9" t="n">
        <f aca="false">C3/B3</f>
        <v>7492.1908045977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52027.06</v>
      </c>
      <c r="D4" s="9" t="n">
        <v>28971</v>
      </c>
      <c r="E4" s="9" t="n">
        <v>8700</v>
      </c>
      <c r="F4" s="9"/>
      <c r="G4" s="9" t="n">
        <v>8291.52</v>
      </c>
      <c r="H4" s="9"/>
      <c r="I4" s="9" t="n">
        <v>6064.54</v>
      </c>
      <c r="J4" s="9"/>
      <c r="K4" s="9" t="n">
        <f aca="false">(D4+E4+J4+G4+I4)/B4</f>
        <v>8129.228125</v>
      </c>
      <c r="L4" s="9" t="n">
        <f aca="false">(F4+H4)/B4</f>
        <v>0</v>
      </c>
      <c r="M4" s="9" t="n">
        <f aca="false">C4/B4</f>
        <v>8129.228125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181156.15</v>
      </c>
      <c r="D5" s="9" t="n">
        <v>118698</v>
      </c>
      <c r="E5" s="9"/>
      <c r="F5" s="9"/>
      <c r="G5" s="9" t="n">
        <v>25781.65</v>
      </c>
      <c r="H5" s="9" t="n">
        <v>2419</v>
      </c>
      <c r="I5" s="9" t="n">
        <v>34257.5</v>
      </c>
      <c r="J5" s="9"/>
      <c r="K5" s="9" t="n">
        <f aca="false">(D5+E5+J5+G5+I5)/B5</f>
        <v>11955.6622073579</v>
      </c>
      <c r="L5" s="9" t="n">
        <f aca="false">(F5+H5)/B5</f>
        <v>161.80602006689</v>
      </c>
      <c r="M5" s="9" t="n">
        <f aca="false">C5/B5</f>
        <v>12117.4682274248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56676.17</v>
      </c>
      <c r="D6" s="9" t="n">
        <v>28485</v>
      </c>
      <c r="E6" s="9"/>
      <c r="F6" s="9"/>
      <c r="G6" s="9" t="n">
        <v>13070.4</v>
      </c>
      <c r="H6" s="9" t="n">
        <v>507</v>
      </c>
      <c r="I6" s="9" t="n">
        <v>14613.77</v>
      </c>
      <c r="J6" s="9"/>
      <c r="K6" s="9" t="n">
        <f aca="false">(D6+E6+J6+G6+I6)/B6</f>
        <v>8641.41076923077</v>
      </c>
      <c r="L6" s="9" t="n">
        <f aca="false">(F6+H6)/B6</f>
        <v>78</v>
      </c>
      <c r="M6" s="9" t="n">
        <f aca="false">C6/B6</f>
        <v>8719.41076923077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93773.38</v>
      </c>
      <c r="D7" s="9" t="n">
        <v>28790</v>
      </c>
      <c r="E7" s="9" t="n">
        <v>9285</v>
      </c>
      <c r="F7" s="9"/>
      <c r="G7" s="9" t="n">
        <v>21232.5</v>
      </c>
      <c r="H7" s="9" t="n">
        <v>20264</v>
      </c>
      <c r="I7" s="9" t="n">
        <v>14201.88</v>
      </c>
      <c r="J7" s="9"/>
      <c r="K7" s="9" t="n">
        <f aca="false">(D7+E7+J7+G7+I7)/B7</f>
        <v>6863.62091503268</v>
      </c>
      <c r="L7" s="9" t="n">
        <f aca="false">(F7+H7)/B7</f>
        <v>1892.06349206349</v>
      </c>
      <c r="M7" s="9" t="n">
        <f aca="false">C7/B7</f>
        <v>8755.68440709617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109967.92</v>
      </c>
      <c r="D8" s="9" t="n">
        <v>64761</v>
      </c>
      <c r="E8" s="9"/>
      <c r="F8" s="9"/>
      <c r="G8" s="9" t="n">
        <v>7932.38</v>
      </c>
      <c r="H8" s="9" t="n">
        <v>23524</v>
      </c>
      <c r="I8" s="9" t="n">
        <v>13750.54</v>
      </c>
      <c r="J8" s="9"/>
      <c r="K8" s="9" t="n">
        <f aca="false">(D8+E8+J8+G8+I8)/B8</f>
        <v>11972.8421052632</v>
      </c>
      <c r="L8" s="9" t="n">
        <f aca="false">(F8+H8)/B8</f>
        <v>3258.17174515235</v>
      </c>
      <c r="M8" s="9" t="n">
        <f aca="false">C8/B8</f>
        <v>15231.0138504155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157125.9</v>
      </c>
      <c r="D9" s="9" t="n">
        <v>106571</v>
      </c>
      <c r="E9" s="9" t="n">
        <v>13544</v>
      </c>
      <c r="F9" s="9"/>
      <c r="G9" s="9" t="n">
        <v>17860.31</v>
      </c>
      <c r="H9" s="9"/>
      <c r="I9" s="9" t="n">
        <v>19150.59</v>
      </c>
      <c r="J9" s="9"/>
      <c r="K9" s="9" t="n">
        <f aca="false">(D9+E9+J9+G9+I9)/B9</f>
        <v>13259.5696202532</v>
      </c>
      <c r="L9" s="9" t="n">
        <f aca="false">(F9+H9)/B9</f>
        <v>0</v>
      </c>
      <c r="M9" s="9" t="n">
        <f aca="false">C9/B9</f>
        <v>13259.5696202532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135420.14</v>
      </c>
      <c r="D10" s="9" t="n">
        <v>77236</v>
      </c>
      <c r="E10" s="9" t="n">
        <v>12653</v>
      </c>
      <c r="F10" s="9"/>
      <c r="G10" s="9" t="n">
        <v>18810.46</v>
      </c>
      <c r="H10" s="9"/>
      <c r="I10" s="9" t="n">
        <v>26720.68</v>
      </c>
      <c r="J10" s="9"/>
      <c r="K10" s="9" t="n">
        <f aca="false">(D10+E10+J10+G10+I10)/B10</f>
        <v>14800.0153005464</v>
      </c>
      <c r="L10" s="9" t="n">
        <f aca="false">(F10+H10)/B10</f>
        <v>0</v>
      </c>
      <c r="M10" s="9" t="n">
        <f aca="false">C10/B10</f>
        <v>14800.0153005464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90621.4</v>
      </c>
      <c r="D11" s="9" t="n">
        <v>62063</v>
      </c>
      <c r="E11" s="9"/>
      <c r="F11" s="9"/>
      <c r="G11" s="9" t="n">
        <v>11263</v>
      </c>
      <c r="H11" s="9"/>
      <c r="I11" s="9" t="n">
        <v>17295.4</v>
      </c>
      <c r="J11" s="9"/>
      <c r="K11" s="9" t="n">
        <f aca="false">(D11+E11+J11+G11+I11)/B11</f>
        <v>11923.8684210526</v>
      </c>
      <c r="L11" s="9" t="n">
        <f aca="false">(F11+H11)/B11</f>
        <v>0</v>
      </c>
      <c r="M11" s="9" t="n">
        <f aca="false">C11/B11</f>
        <v>11923.8684210526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95672.81</v>
      </c>
      <c r="D12" s="9" t="n">
        <v>59353</v>
      </c>
      <c r="E12" s="9"/>
      <c r="F12" s="9"/>
      <c r="G12" s="9" t="n">
        <v>13054.88</v>
      </c>
      <c r="H12" s="9" t="n">
        <v>611</v>
      </c>
      <c r="I12" s="9" t="n">
        <v>22653.93</v>
      </c>
      <c r="J12" s="9"/>
      <c r="K12" s="9" t="n">
        <f aca="false">(D12+E12+J12+G12+I12)/B12</f>
        <v>6790.12928571429</v>
      </c>
      <c r="L12" s="9" t="n">
        <f aca="false">(F12+H12)/B12</f>
        <v>43.6428571428571</v>
      </c>
      <c r="M12" s="9" t="n">
        <f aca="false">C12/B12</f>
        <v>6833.77214285714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28835.25</v>
      </c>
      <c r="D13" s="9" t="n">
        <v>16657</v>
      </c>
      <c r="E13" s="9"/>
      <c r="F13" s="9"/>
      <c r="G13" s="9" t="n">
        <v>6001.09</v>
      </c>
      <c r="H13" s="9" t="n">
        <v>520</v>
      </c>
      <c r="I13" s="9" t="n">
        <v>5657.16</v>
      </c>
      <c r="J13" s="9"/>
      <c r="K13" s="9" t="n">
        <f aca="false">(D13+E13+J13+G13+I13)/B13</f>
        <v>4750.88087248322</v>
      </c>
      <c r="L13" s="9" t="n">
        <f aca="false">(F13+H13)/B13</f>
        <v>87.248322147651</v>
      </c>
      <c r="M13" s="9" t="n">
        <f aca="false">C13/B13</f>
        <v>4838.12919463087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87332.27</v>
      </c>
      <c r="D14" s="9" t="n">
        <v>54956</v>
      </c>
      <c r="E14" s="9" t="n">
        <v>7200</v>
      </c>
      <c r="F14" s="9"/>
      <c r="G14" s="9" t="n">
        <v>3950.29</v>
      </c>
      <c r="H14" s="9" t="n">
        <v>15402</v>
      </c>
      <c r="I14" s="9" t="n">
        <v>5823.98</v>
      </c>
      <c r="J14" s="9"/>
      <c r="K14" s="9" t="n">
        <f aca="false">(D14+E14+J14+G14+I14)/B14</f>
        <v>16347.7886363636</v>
      </c>
      <c r="L14" s="9" t="n">
        <f aca="false">(F14+H14)/B14</f>
        <v>3500.45454545455</v>
      </c>
      <c r="M14" s="9" t="n">
        <f aca="false">C14/B14</f>
        <v>19848.2431818182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106733.86</v>
      </c>
      <c r="D15" s="9" t="n">
        <v>72640</v>
      </c>
      <c r="E15" s="9"/>
      <c r="F15" s="9"/>
      <c r="G15" s="9" t="n">
        <v>15016.38</v>
      </c>
      <c r="H15" s="9" t="n">
        <v>1200</v>
      </c>
      <c r="I15" s="9" t="n">
        <v>17877.48</v>
      </c>
      <c r="J15" s="9"/>
      <c r="K15" s="9" t="n">
        <f aca="false">(D15+E15+J15+G15+I15)/B15</f>
        <v>19799.9737335835</v>
      </c>
      <c r="L15" s="9" t="n">
        <f aca="false">(F15+H15)/B15</f>
        <v>225.140712945591</v>
      </c>
      <c r="M15" s="9" t="n">
        <f aca="false">C15/B15</f>
        <v>20025.1144465291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180029.22</v>
      </c>
      <c r="D16" s="9" t="n">
        <v>117237</v>
      </c>
      <c r="E16" s="9" t="n">
        <v>25510</v>
      </c>
      <c r="F16" s="9"/>
      <c r="G16" s="9" t="n">
        <v>10007.53</v>
      </c>
      <c r="H16" s="9" t="n">
        <v>4320</v>
      </c>
      <c r="I16" s="9" t="n">
        <v>22954.69</v>
      </c>
      <c r="J16" s="9"/>
      <c r="K16" s="9" t="n">
        <f aca="false">(D16+E16+J16+G16+I16)/B16</f>
        <v>17059.1475728155</v>
      </c>
      <c r="L16" s="9" t="n">
        <f aca="false">(F16+H16)/B16</f>
        <v>419.417475728155</v>
      </c>
      <c r="M16" s="9" t="n">
        <f aca="false">C16/B16</f>
        <v>17478.5650485437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50039.34</v>
      </c>
      <c r="D17" s="9" t="n">
        <v>28579</v>
      </c>
      <c r="E17" s="9"/>
      <c r="F17" s="9"/>
      <c r="G17" s="9" t="n">
        <v>13040.98</v>
      </c>
      <c r="H17" s="9"/>
      <c r="I17" s="9" t="n">
        <v>8419.36</v>
      </c>
      <c r="J17" s="9"/>
      <c r="K17" s="9" t="n">
        <f aca="false">(D17+E17+J17+G17+I17)/B17</f>
        <v>8339.89</v>
      </c>
      <c r="L17" s="9" t="n">
        <f aca="false">(F17+H17)/B17</f>
        <v>0</v>
      </c>
      <c r="M17" s="9" t="n">
        <f aca="false">C17/B17</f>
        <v>8339.89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109095.5</v>
      </c>
      <c r="D18" s="9" t="n">
        <v>77167</v>
      </c>
      <c r="E18" s="9"/>
      <c r="F18" s="9"/>
      <c r="G18" s="9" t="n">
        <v>13390.6</v>
      </c>
      <c r="H18" s="9"/>
      <c r="I18" s="9" t="n">
        <v>18537.9</v>
      </c>
      <c r="J18" s="9"/>
      <c r="K18" s="9" t="n">
        <f aca="false">(D18+E18+J18+G18+I18)/B18</f>
        <v>13986.6025641026</v>
      </c>
      <c r="L18" s="9" t="n">
        <f aca="false">(F18+H18)/B18</f>
        <v>0</v>
      </c>
      <c r="M18" s="9" t="n">
        <f aca="false">C18/B18</f>
        <v>13986.6025641026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70222.35</v>
      </c>
      <c r="D19" s="9" t="n">
        <v>49003</v>
      </c>
      <c r="E19" s="9"/>
      <c r="F19" s="9"/>
      <c r="G19" s="9" t="n">
        <v>9987.98</v>
      </c>
      <c r="H19" s="9"/>
      <c r="I19" s="9" t="n">
        <v>11231.37</v>
      </c>
      <c r="J19" s="9"/>
      <c r="K19" s="9" t="n">
        <f aca="false">(D19+E19+J19+G19+I19)/B19</f>
        <v>11703.725</v>
      </c>
      <c r="L19" s="9" t="n">
        <f aca="false">(F19+H19)/B19</f>
        <v>0</v>
      </c>
      <c r="M19" s="9" t="n">
        <f aca="false">C19/B19</f>
        <v>11703.725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96665.8</v>
      </c>
      <c r="D20" s="9" t="n">
        <v>52007</v>
      </c>
      <c r="E20" s="9" t="n">
        <v>15350</v>
      </c>
      <c r="F20" s="9"/>
      <c r="G20" s="9" t="n">
        <v>16918.19</v>
      </c>
      <c r="H20" s="9"/>
      <c r="I20" s="9" t="n">
        <v>12390.61</v>
      </c>
      <c r="J20" s="9"/>
      <c r="K20" s="9" t="n">
        <f aca="false">(D20+E20+J20+G20+I20)/B20</f>
        <v>17261.75</v>
      </c>
      <c r="L20" s="9" t="n">
        <f aca="false">(F20+H20)/B20</f>
        <v>0</v>
      </c>
      <c r="M20" s="9" t="n">
        <f aca="false">C20/B20</f>
        <v>17261.75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103236.55</v>
      </c>
      <c r="D21" s="9" t="n">
        <v>57732</v>
      </c>
      <c r="E21" s="9" t="n">
        <v>16300</v>
      </c>
      <c r="F21" s="9"/>
      <c r="G21" s="9" t="n">
        <v>16945.03</v>
      </c>
      <c r="H21" s="9" t="n">
        <v>515</v>
      </c>
      <c r="I21" s="9" t="n">
        <v>11744.52</v>
      </c>
      <c r="J21" s="9"/>
      <c r="K21" s="9" t="n">
        <f aca="false">(D21+E21+J21+G21+I21)/B21</f>
        <v>13881.2905405405</v>
      </c>
      <c r="L21" s="9" t="n">
        <f aca="false">(F21+H21)/B21</f>
        <v>69.5945945945946</v>
      </c>
      <c r="M21" s="9" t="n">
        <f aca="false">C21/B21</f>
        <v>13950.8851351351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175167.72</v>
      </c>
      <c r="D22" s="9" t="n">
        <v>125682</v>
      </c>
      <c r="E22" s="9" t="n">
        <v>16950</v>
      </c>
      <c r="F22" s="9"/>
      <c r="G22" s="9" t="n">
        <v>17513.88</v>
      </c>
      <c r="H22" s="9"/>
      <c r="I22" s="9" t="n">
        <v>15021.84</v>
      </c>
      <c r="J22" s="9"/>
      <c r="K22" s="9" t="n">
        <f aca="false">(D22+E22+J22+G22+I22)/B22</f>
        <v>21284.0486026731</v>
      </c>
      <c r="L22" s="9" t="n">
        <f aca="false">(F22+H22)/B22</f>
        <v>0</v>
      </c>
      <c r="M22" s="9" t="n">
        <f aca="false">C22/B22</f>
        <v>21284.0486026731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27569.69</v>
      </c>
      <c r="D23" s="9" t="n">
        <v>22070</v>
      </c>
      <c r="E23" s="9" t="n">
        <v>3200</v>
      </c>
      <c r="F23" s="9"/>
      <c r="G23" s="9" t="n">
        <v>1500.63</v>
      </c>
      <c r="H23" s="9" t="n">
        <v>377</v>
      </c>
      <c r="I23" s="9" t="n">
        <v>422.06</v>
      </c>
      <c r="J23" s="9"/>
      <c r="K23" s="9" t="n">
        <f aca="false">(D23+E23+J23+G23+I23)/B23</f>
        <v>6798.1725</v>
      </c>
      <c r="L23" s="9" t="n">
        <f aca="false">(F23+H23)/B23</f>
        <v>94.25</v>
      </c>
      <c r="M23" s="9" t="n">
        <f aca="false">C23/B23</f>
        <v>6892.4225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214713.37</v>
      </c>
      <c r="D24" s="9" t="n">
        <v>131737</v>
      </c>
      <c r="E24" s="9" t="n">
        <v>22360</v>
      </c>
      <c r="F24" s="20"/>
      <c r="G24" s="9" t="n">
        <v>27358.49</v>
      </c>
      <c r="H24" s="9"/>
      <c r="I24" s="9" t="n">
        <v>33257.88</v>
      </c>
      <c r="J24" s="9"/>
      <c r="K24" s="9" t="n">
        <f aca="false">(D24+E24+J24+G24+I24)/B24</f>
        <v>10735.6685</v>
      </c>
      <c r="L24" s="9" t="n">
        <f aca="false">(F24+H24)/B24</f>
        <v>0</v>
      </c>
      <c r="M24" s="9" t="n">
        <f aca="false">C24/B24</f>
        <v>10735.6685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125944.17</v>
      </c>
      <c r="D25" s="9" t="n">
        <v>68157</v>
      </c>
      <c r="E25" s="9" t="n">
        <v>14395</v>
      </c>
      <c r="F25" s="9"/>
      <c r="G25" s="9" t="n">
        <v>21191.18</v>
      </c>
      <c r="H25" s="9"/>
      <c r="I25" s="9" t="n">
        <v>22200.99</v>
      </c>
      <c r="J25" s="9"/>
      <c r="K25" s="9" t="n">
        <f aca="false">(D25+E25+J25+G25+I25)/B25</f>
        <v>11607.7576036866</v>
      </c>
      <c r="L25" s="9" t="n">
        <f aca="false">(F25+H25)/B25</f>
        <v>0</v>
      </c>
      <c r="M25" s="9" t="n">
        <f aca="false">C25/B25</f>
        <v>11607.7576036866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4</v>
      </c>
      <c r="C26" s="9" t="n">
        <f aca="false">+D26+E26+F26+G26+H26+I26+J26</f>
        <v>20335.45</v>
      </c>
      <c r="D26" s="9" t="n">
        <v>5085</v>
      </c>
      <c r="E26" s="9"/>
      <c r="F26" s="9"/>
      <c r="G26" s="9" t="n">
        <v>7362.14</v>
      </c>
      <c r="H26" s="9"/>
      <c r="I26" s="9" t="n">
        <v>7888.31</v>
      </c>
      <c r="J26" s="9"/>
      <c r="K26" s="9" t="n">
        <f aca="false">(D26+E26+J26+G26+I26)/B26</f>
        <v>5083.8625</v>
      </c>
      <c r="L26" s="9" t="n">
        <f aca="false">(F26+H26)/B26</f>
        <v>0</v>
      </c>
      <c r="M26" s="9" t="n">
        <f aca="false">C26/B26</f>
        <v>5083.8625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49398.69</v>
      </c>
      <c r="D27" s="9" t="n">
        <v>31560</v>
      </c>
      <c r="E27" s="9"/>
      <c r="F27" s="9"/>
      <c r="G27" s="9" t="n">
        <v>7725.08</v>
      </c>
      <c r="H27" s="9"/>
      <c r="I27" s="9" t="n">
        <v>10113.61</v>
      </c>
      <c r="J27" s="9"/>
      <c r="K27" s="9" t="n">
        <f aca="false">(D27+E27+J27+G27+I27)/B27</f>
        <v>8900.66486486487</v>
      </c>
      <c r="L27" s="9" t="n">
        <f aca="false">(F27+H27)/B27</f>
        <v>0</v>
      </c>
      <c r="M27" s="9" t="n">
        <f aca="false">C27/B27</f>
        <v>8900.66486486487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50172.24</v>
      </c>
      <c r="D28" s="9" t="n">
        <v>34360</v>
      </c>
      <c r="E28" s="9"/>
      <c r="F28" s="9"/>
      <c r="G28" s="9" t="n">
        <v>5234.35</v>
      </c>
      <c r="H28" s="9"/>
      <c r="I28" s="9" t="n">
        <v>10577.89</v>
      </c>
      <c r="J28" s="9"/>
      <c r="K28" s="9" t="n">
        <f aca="false">(D28+E28+J28+G28+I28)/B28</f>
        <v>8334.25913621262</v>
      </c>
      <c r="L28" s="9" t="n">
        <f aca="false">(F28+H28)/B28</f>
        <v>0</v>
      </c>
      <c r="M28" s="9" t="n">
        <f aca="false">C28/B28</f>
        <v>8334.25913621262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141959.31</v>
      </c>
      <c r="D29" s="9" t="n">
        <v>84069</v>
      </c>
      <c r="E29" s="9" t="n">
        <v>29770</v>
      </c>
      <c r="F29" s="9"/>
      <c r="G29" s="9" t="n">
        <v>14178.95</v>
      </c>
      <c r="H29" s="9"/>
      <c r="I29" s="9" t="n">
        <v>13941.36</v>
      </c>
      <c r="J29" s="9"/>
      <c r="K29" s="9" t="n">
        <f aca="false">(D29+E29+J29+G29+I29)/B29</f>
        <v>12344.287826087</v>
      </c>
      <c r="L29" s="9" t="n">
        <f aca="false">(F29+H29)/B29</f>
        <v>0</v>
      </c>
      <c r="M29" s="9" t="n">
        <f aca="false">C29/B29</f>
        <v>12344.287826087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41252.65</v>
      </c>
      <c r="D30" s="26" t="n">
        <v>24222</v>
      </c>
      <c r="E30" s="9"/>
      <c r="F30" s="9"/>
      <c r="G30" s="9" t="n">
        <v>6451.66</v>
      </c>
      <c r="H30" s="9"/>
      <c r="I30" s="9" t="n">
        <v>10578.99</v>
      </c>
      <c r="J30" s="9"/>
      <c r="K30" s="9" t="n">
        <f aca="false">(D30+E30+J30+G30+I30)/B30</f>
        <v>6653.65322580645</v>
      </c>
      <c r="L30" s="9" t="n">
        <f aca="false">(F30+H30)/B30</f>
        <v>0</v>
      </c>
      <c r="M30" s="9" t="n">
        <f aca="false">C30/B30</f>
        <v>6653.65322580645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41001.19</v>
      </c>
      <c r="D31" s="9" t="n">
        <v>25106</v>
      </c>
      <c r="E31" s="9"/>
      <c r="F31" s="9"/>
      <c r="G31" s="9" t="n">
        <v>10104.61</v>
      </c>
      <c r="H31" s="9"/>
      <c r="I31" s="9" t="n">
        <v>5790.58</v>
      </c>
      <c r="J31" s="9"/>
      <c r="K31" s="9" t="n">
        <f aca="false">(D31+E31+J31+G31+I31)/B31</f>
        <v>7736.07358490566</v>
      </c>
      <c r="L31" s="9" t="n">
        <f aca="false">(F31+H31)/B31</f>
        <v>0</v>
      </c>
      <c r="M31" s="9" t="n">
        <f aca="false">C31/B31</f>
        <v>7736.07358490566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310422.2</v>
      </c>
      <c r="D32" s="9" t="n">
        <v>222426</v>
      </c>
      <c r="E32" s="9" t="n">
        <v>35330</v>
      </c>
      <c r="F32" s="9"/>
      <c r="G32" s="9" t="n">
        <v>14506.71</v>
      </c>
      <c r="H32" s="9"/>
      <c r="I32" s="9" t="n">
        <v>38159.49</v>
      </c>
      <c r="J32" s="9"/>
      <c r="K32" s="9" t="n">
        <f aca="false">(D32+E32+J32+G32+I32)/B32</f>
        <v>21408.4275862069</v>
      </c>
      <c r="L32" s="9" t="n">
        <f aca="false">(F32+H32)/B32</f>
        <v>0</v>
      </c>
      <c r="M32" s="9" t="n">
        <f aca="false">C32/B32</f>
        <v>21408.4275862069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pane xSplit="0" ySplit="7" topLeftCell="A45" activePane="bottomLeft" state="frozen"/>
      <selection pane="topLeft" activeCell="A1" activeCellId="0" sqref="A1"/>
      <selection pane="bottom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273329.1</v>
      </c>
      <c r="D2" s="9" t="n">
        <v>85473</v>
      </c>
      <c r="E2" s="9" t="n">
        <v>17900</v>
      </c>
      <c r="F2" s="9"/>
      <c r="G2" s="9" t="n">
        <v>22156.6</v>
      </c>
      <c r="H2" s="9" t="n">
        <v>134348</v>
      </c>
      <c r="I2" s="9" t="n">
        <v>10951.5</v>
      </c>
      <c r="J2" s="9" t="n">
        <v>2500</v>
      </c>
      <c r="K2" s="9" t="n">
        <f aca="false">(D2+E2+J2+G2+I2)/B2</f>
        <v>14417.1265560166</v>
      </c>
      <c r="L2" s="9" t="n">
        <f aca="false">(F2+H2)/B2</f>
        <v>13936.5145228216</v>
      </c>
      <c r="M2" s="9" t="n">
        <f aca="false">C2/B2</f>
        <v>28353.6410788382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62899.52</v>
      </c>
      <c r="D3" s="9" t="n">
        <v>48325</v>
      </c>
      <c r="E3" s="9"/>
      <c r="F3" s="9"/>
      <c r="G3" s="9" t="n">
        <v>8291.51</v>
      </c>
      <c r="H3" s="9" t="n">
        <v>2245</v>
      </c>
      <c r="I3" s="9" t="n">
        <v>4038.01</v>
      </c>
      <c r="J3" s="9"/>
      <c r="K3" s="9" t="n">
        <f aca="false">(D3+E3+J3+G3+I3)/B3</f>
        <v>6971.78390804598</v>
      </c>
      <c r="L3" s="9" t="n">
        <f aca="false">(F3+H3)/B3</f>
        <v>258.045977011494</v>
      </c>
      <c r="M3" s="9" t="n">
        <f aca="false">C3/B3</f>
        <v>7229.82988505747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54826.52</v>
      </c>
      <c r="D4" s="9" t="n">
        <v>33227</v>
      </c>
      <c r="E4" s="9" t="n">
        <v>8700</v>
      </c>
      <c r="F4" s="9"/>
      <c r="G4" s="9" t="n">
        <v>8291.51</v>
      </c>
      <c r="H4" s="9" t="n">
        <v>570</v>
      </c>
      <c r="I4" s="9" t="n">
        <v>4038.01</v>
      </c>
      <c r="J4" s="9"/>
      <c r="K4" s="9" t="n">
        <f aca="false">(D4+E4+J4+G4+I4)/B4</f>
        <v>8477.58125</v>
      </c>
      <c r="L4" s="9" t="n">
        <f aca="false">(F4+H4)/B4</f>
        <v>89.0625</v>
      </c>
      <c r="M4" s="9" t="n">
        <f aca="false">C4/B4</f>
        <v>8566.64375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213594.17</v>
      </c>
      <c r="D5" s="9" t="n">
        <v>142624</v>
      </c>
      <c r="E5" s="9" t="n">
        <v>29145</v>
      </c>
      <c r="F5" s="9"/>
      <c r="G5" s="9" t="n">
        <v>25781.7</v>
      </c>
      <c r="H5" s="9" t="n">
        <v>8960</v>
      </c>
      <c r="I5" s="9" t="n">
        <v>7083.47</v>
      </c>
      <c r="J5" s="9"/>
      <c r="K5" s="9" t="n">
        <f aca="false">(D5+E5+J5+G5+I5)/B5</f>
        <v>13687.9043478261</v>
      </c>
      <c r="L5" s="9" t="n">
        <f aca="false">(F5+H5)/B5</f>
        <v>599.33110367893</v>
      </c>
      <c r="M5" s="9" t="n">
        <f aca="false">C5/B5</f>
        <v>14287.235451505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80291.08</v>
      </c>
      <c r="D6" s="9" t="n">
        <v>40596</v>
      </c>
      <c r="E6" s="9"/>
      <c r="F6" s="9" t="n">
        <v>16332</v>
      </c>
      <c r="G6" s="9" t="n">
        <v>13070.43</v>
      </c>
      <c r="H6" s="9" t="n">
        <v>2300</v>
      </c>
      <c r="I6" s="9" t="n">
        <v>7992.65</v>
      </c>
      <c r="J6" s="9"/>
      <c r="K6" s="9" t="n">
        <f aca="false">(D6+E6+J6+G6+I6)/B6</f>
        <v>9486.01230769231</v>
      </c>
      <c r="L6" s="9" t="n">
        <f aca="false">(F6+H6)/B6</f>
        <v>2866.46153846154</v>
      </c>
      <c r="M6" s="9" t="n">
        <f aca="false">C6/B6</f>
        <v>12352.4738461538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97576.79</v>
      </c>
      <c r="D7" s="9" t="n">
        <v>39816</v>
      </c>
      <c r="E7" s="9" t="n">
        <v>7670</v>
      </c>
      <c r="F7" s="9"/>
      <c r="G7" s="9" t="n">
        <v>21232.48</v>
      </c>
      <c r="H7" s="9" t="n">
        <v>20452.5</v>
      </c>
      <c r="I7" s="9" t="n">
        <v>8405.81</v>
      </c>
      <c r="J7" s="9"/>
      <c r="K7" s="9" t="n">
        <f aca="false">(D7+E7+J7+G7+I7)/B7</f>
        <v>7201.14752567694</v>
      </c>
      <c r="L7" s="9" t="n">
        <f aca="false">(F7+H7)/B7</f>
        <v>1909.66386554622</v>
      </c>
      <c r="M7" s="9" t="n">
        <f aca="false">C7/B7</f>
        <v>9110.81139122316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89377.16</v>
      </c>
      <c r="D8" s="9" t="n">
        <v>73575</v>
      </c>
      <c r="E8" s="9"/>
      <c r="F8" s="9"/>
      <c r="G8" s="9" t="n">
        <v>7997.48</v>
      </c>
      <c r="H8" s="9" t="n">
        <v>3170</v>
      </c>
      <c r="I8" s="9" t="n">
        <v>4634.68</v>
      </c>
      <c r="J8" s="9"/>
      <c r="K8" s="9" t="n">
        <f aca="false">(D8+E8+J8+G8+I8)/B8</f>
        <v>11940.0498614958</v>
      </c>
      <c r="L8" s="9" t="n">
        <f aca="false">(F8+H8)/B8</f>
        <v>439.058171745152</v>
      </c>
      <c r="M8" s="9" t="n">
        <f aca="false">C8/B8</f>
        <v>12379.108033241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225233.14</v>
      </c>
      <c r="D9" s="9" t="n">
        <v>134835</v>
      </c>
      <c r="E9" s="9" t="n">
        <v>27922</v>
      </c>
      <c r="F9" s="9"/>
      <c r="G9" s="9" t="n">
        <v>17860.36</v>
      </c>
      <c r="H9" s="9" t="n">
        <v>34440.44</v>
      </c>
      <c r="I9" s="9" t="n">
        <v>10175.34</v>
      </c>
      <c r="J9" s="9"/>
      <c r="K9" s="9" t="n">
        <f aca="false">(D9+E9+J9+G9+I9)/B9</f>
        <v>16100.6497890295</v>
      </c>
      <c r="L9" s="9" t="n">
        <f aca="false">(F9+H9)/B9</f>
        <v>2906.36624472574</v>
      </c>
      <c r="M9" s="9" t="n">
        <f aca="false">C9/B9</f>
        <v>19007.0160337553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132104.49</v>
      </c>
      <c r="D10" s="9" t="n">
        <v>87559</v>
      </c>
      <c r="E10" s="9" t="n">
        <v>9395</v>
      </c>
      <c r="F10" s="9"/>
      <c r="G10" s="9" t="n">
        <v>18810.43</v>
      </c>
      <c r="H10" s="9" t="n">
        <v>3820</v>
      </c>
      <c r="I10" s="9" t="n">
        <v>12520.06</v>
      </c>
      <c r="J10" s="9"/>
      <c r="K10" s="9" t="n">
        <f aca="false">(D10+E10+J10+G10+I10)/B10</f>
        <v>14020.1628415301</v>
      </c>
      <c r="L10" s="9" t="n">
        <f aca="false">(F10+H10)/B10</f>
        <v>417.486338797814</v>
      </c>
      <c r="M10" s="9" t="n">
        <f aca="false">C10/B10</f>
        <v>14437.6491803279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110097.69</v>
      </c>
      <c r="D11" s="9" t="n">
        <v>79748</v>
      </c>
      <c r="E11" s="9"/>
      <c r="F11" s="9"/>
      <c r="G11" s="9" t="n">
        <v>11262.97</v>
      </c>
      <c r="H11" s="9" t="n">
        <v>13526</v>
      </c>
      <c r="I11" s="9" t="n">
        <v>5560.72</v>
      </c>
      <c r="J11" s="9"/>
      <c r="K11" s="9" t="n">
        <f aca="false">(D11+E11+J11+G11+I11)/B11</f>
        <v>12706.8013157895</v>
      </c>
      <c r="L11" s="9" t="n">
        <f aca="false">(F11+H11)/B11</f>
        <v>1779.73684210526</v>
      </c>
      <c r="M11" s="9" t="n">
        <f aca="false">C11/B11</f>
        <v>14486.5381578947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169426.33</v>
      </c>
      <c r="D12" s="9" t="n">
        <v>72884</v>
      </c>
      <c r="E12" s="9" t="n">
        <v>5834</v>
      </c>
      <c r="F12" s="9" t="n">
        <v>65328</v>
      </c>
      <c r="G12" s="9" t="n">
        <v>13054.93</v>
      </c>
      <c r="H12" s="9" t="n">
        <v>4580</v>
      </c>
      <c r="I12" s="9" t="n">
        <v>7745.4</v>
      </c>
      <c r="J12" s="9"/>
      <c r="K12" s="9" t="n">
        <f aca="false">(D12+E12+J12+G12+I12)/B12</f>
        <v>7108.45214285714</v>
      </c>
      <c r="L12" s="9" t="n">
        <f aca="false">(F12+H12)/B12</f>
        <v>4993.42857142857</v>
      </c>
      <c r="M12" s="9" t="n">
        <f aca="false">C12/B12</f>
        <v>12101.8807142857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36924.02</v>
      </c>
      <c r="D13" s="9" t="n">
        <v>22192</v>
      </c>
      <c r="E13" s="9"/>
      <c r="F13" s="9"/>
      <c r="G13" s="9" t="n">
        <v>12002.18</v>
      </c>
      <c r="H13" s="9" t="n">
        <v>800</v>
      </c>
      <c r="I13" s="9" t="n">
        <v>1929.84</v>
      </c>
      <c r="J13" s="9"/>
      <c r="K13" s="9" t="n">
        <f aca="false">(D13+E13+J13+G13+I13)/B13</f>
        <v>6061.07718120805</v>
      </c>
      <c r="L13" s="9" t="n">
        <f aca="false">(F13+H13)/B13</f>
        <v>134.228187919463</v>
      </c>
      <c r="M13" s="9" t="n">
        <f aca="false">C13/B13</f>
        <v>6195.30536912752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79183.27</v>
      </c>
      <c r="D14" s="9" t="n">
        <v>56890</v>
      </c>
      <c r="E14" s="9" t="n">
        <v>10000</v>
      </c>
      <c r="F14" s="9"/>
      <c r="G14" s="9" t="n">
        <v>5917.67</v>
      </c>
      <c r="H14" s="9" t="n">
        <v>3269</v>
      </c>
      <c r="I14" s="9" t="n">
        <v>3106.6</v>
      </c>
      <c r="J14" s="9"/>
      <c r="K14" s="9" t="n">
        <f aca="false">(D14+E14+J14+G14+I14)/B14</f>
        <v>17253.2431818182</v>
      </c>
      <c r="L14" s="9" t="n">
        <f aca="false">(F14+H14)/B14</f>
        <v>742.954545454545</v>
      </c>
      <c r="M14" s="9" t="n">
        <f aca="false">C14/B14</f>
        <v>17996.1977272727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102273.77</v>
      </c>
      <c r="D15" s="9" t="n">
        <v>77926</v>
      </c>
      <c r="E15" s="9" t="n">
        <v>6400</v>
      </c>
      <c r="F15" s="9"/>
      <c r="G15" s="9" t="n">
        <v>9326.08</v>
      </c>
      <c r="H15" s="9" t="n">
        <v>3200</v>
      </c>
      <c r="I15" s="9" t="n">
        <v>5421.69</v>
      </c>
      <c r="J15" s="9"/>
      <c r="K15" s="9" t="n">
        <f aca="false">(D15+E15+J15+G15+I15)/B15</f>
        <v>18587.9493433396</v>
      </c>
      <c r="L15" s="9" t="n">
        <f aca="false">(F15+H15)/B15</f>
        <v>600.375234521576</v>
      </c>
      <c r="M15" s="9" t="n">
        <f aca="false">C15/B15</f>
        <v>19188.3245778612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198816.3</v>
      </c>
      <c r="D16" s="9" t="n">
        <v>137096</v>
      </c>
      <c r="E16" s="9" t="n">
        <v>30740</v>
      </c>
      <c r="F16" s="9"/>
      <c r="G16" s="9" t="n">
        <v>10007.54</v>
      </c>
      <c r="H16" s="9" t="n">
        <v>5915</v>
      </c>
      <c r="I16" s="9" t="n">
        <v>15057.76</v>
      </c>
      <c r="J16" s="9"/>
      <c r="K16" s="9" t="n">
        <f aca="false">(D16+E16+J16+G16+I16)/B16</f>
        <v>18728.2815533981</v>
      </c>
      <c r="L16" s="9" t="n">
        <f aca="false">(F16+H16)/B16</f>
        <v>574.271844660194</v>
      </c>
      <c r="M16" s="9" t="n">
        <f aca="false">C16/B16</f>
        <v>19302.5533980583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61694.76</v>
      </c>
      <c r="D17" s="9" t="n">
        <v>40524</v>
      </c>
      <c r="E17" s="9"/>
      <c r="F17" s="9"/>
      <c r="G17" s="9" t="n">
        <v>13707.83</v>
      </c>
      <c r="H17" s="9" t="n">
        <v>1551</v>
      </c>
      <c r="I17" s="9" t="n">
        <v>5911.93</v>
      </c>
      <c r="J17" s="9"/>
      <c r="K17" s="9" t="n">
        <f aca="false">(D17+E17+J17+G17+I17)/B17</f>
        <v>10023.96</v>
      </c>
      <c r="L17" s="9" t="n">
        <f aca="false">(F17+H17)/B17</f>
        <v>258.5</v>
      </c>
      <c r="M17" s="9" t="n">
        <f aca="false">C17/B17</f>
        <v>10282.46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190673.7</v>
      </c>
      <c r="D18" s="9" t="n">
        <v>92742</v>
      </c>
      <c r="E18" s="9"/>
      <c r="F18" s="9"/>
      <c r="G18" s="9" t="n">
        <v>13194.63</v>
      </c>
      <c r="H18" s="9" t="n">
        <v>74184.2</v>
      </c>
      <c r="I18" s="9" t="n">
        <v>8202.87</v>
      </c>
      <c r="J18" s="9" t="n">
        <v>2350</v>
      </c>
      <c r="K18" s="9" t="n">
        <f aca="false">(D18+E18+J18+G18+I18)/B18</f>
        <v>14934.5512820513</v>
      </c>
      <c r="L18" s="9" t="n">
        <f aca="false">(F18+H18)/B18</f>
        <v>9510.79487179487</v>
      </c>
      <c r="M18" s="9" t="n">
        <f aca="false">C18/B18</f>
        <v>24445.3461538462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74007.58</v>
      </c>
      <c r="D19" s="9" t="n">
        <v>49989</v>
      </c>
      <c r="E19" s="9"/>
      <c r="F19" s="9"/>
      <c r="G19" s="9" t="n">
        <v>10622.56</v>
      </c>
      <c r="H19" s="9" t="n">
        <v>4270</v>
      </c>
      <c r="I19" s="9" t="n">
        <v>9126.02</v>
      </c>
      <c r="J19" s="9"/>
      <c r="K19" s="9" t="n">
        <f aca="false">(D19+E19+J19+G19+I19)/B19</f>
        <v>11622.93</v>
      </c>
      <c r="L19" s="9" t="n">
        <f aca="false">(F19+H19)/B19</f>
        <v>711.666666666667</v>
      </c>
      <c r="M19" s="9" t="n">
        <f aca="false">C19/B19</f>
        <v>12334.5966666667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111492.33</v>
      </c>
      <c r="D20" s="9" t="n">
        <v>64885</v>
      </c>
      <c r="E20" s="9" t="n">
        <v>17500</v>
      </c>
      <c r="F20" s="9"/>
      <c r="G20" s="9" t="n">
        <v>16918.2</v>
      </c>
      <c r="H20" s="9" t="n">
        <v>2529</v>
      </c>
      <c r="I20" s="9" t="n">
        <v>9660.13</v>
      </c>
      <c r="J20" s="9"/>
      <c r="K20" s="9" t="n">
        <f aca="false">(D20+E20+J20+G20+I20)/B20</f>
        <v>19457.7375</v>
      </c>
      <c r="L20" s="9" t="n">
        <f aca="false">(F20+H20)/B20</f>
        <v>451.607142857143</v>
      </c>
      <c r="M20" s="9" t="n">
        <f aca="false">C20/B20</f>
        <v>19909.3446428571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91113.19</v>
      </c>
      <c r="D21" s="9" t="n">
        <v>46777</v>
      </c>
      <c r="E21" s="9" t="n">
        <v>18350</v>
      </c>
      <c r="F21" s="9"/>
      <c r="G21" s="9" t="n">
        <v>16945</v>
      </c>
      <c r="H21" s="9" t="n">
        <v>2815</v>
      </c>
      <c r="I21" s="9" t="n">
        <v>6226.19</v>
      </c>
      <c r="J21" s="9"/>
      <c r="K21" s="9" t="n">
        <f aca="false">(D21+E21+J21+G21+I21)/B21</f>
        <v>11932.1878378378</v>
      </c>
      <c r="L21" s="9" t="n">
        <f aca="false">(F21+H21)/B21</f>
        <v>380.405405405405</v>
      </c>
      <c r="M21" s="9" t="n">
        <f aca="false">C21/B21</f>
        <v>12312.5932432432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161366.35</v>
      </c>
      <c r="D22" s="9" t="n">
        <v>113654</v>
      </c>
      <c r="E22" s="9" t="n">
        <v>14865</v>
      </c>
      <c r="F22" s="9"/>
      <c r="G22" s="9" t="n">
        <v>16012.75</v>
      </c>
      <c r="H22" s="9" t="n">
        <v>9628</v>
      </c>
      <c r="I22" s="9" t="n">
        <v>7206.6</v>
      </c>
      <c r="J22" s="9"/>
      <c r="K22" s="9" t="n">
        <f aca="false">(D22+E22+J22+G22+I22)/B22</f>
        <v>18437.2235722965</v>
      </c>
      <c r="L22" s="9" t="n">
        <f aca="false">(F22+H22)/B22</f>
        <v>1169.86634264885</v>
      </c>
      <c r="M22" s="9" t="n">
        <f aca="false">C22/B22</f>
        <v>19607.0899149453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41523.73</v>
      </c>
      <c r="D23" s="9" t="n">
        <v>24385</v>
      </c>
      <c r="E23" s="9" t="n">
        <v>3200</v>
      </c>
      <c r="F23" s="9"/>
      <c r="G23" s="9" t="n">
        <v>1500.67</v>
      </c>
      <c r="H23" s="9" t="n">
        <v>12016</v>
      </c>
      <c r="I23" s="9" t="n">
        <v>422.06</v>
      </c>
      <c r="J23" s="9"/>
      <c r="K23" s="9" t="n">
        <f aca="false">(D23+E23+J23+G23+I23)/B23</f>
        <v>7376.9325</v>
      </c>
      <c r="L23" s="9" t="n">
        <f aca="false">(F23+H23)/B23</f>
        <v>3004</v>
      </c>
      <c r="M23" s="9" t="n">
        <f aca="false">C23/B23</f>
        <v>10380.9325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273622.6</v>
      </c>
      <c r="D24" s="9" t="n">
        <v>166978</v>
      </c>
      <c r="E24" s="9" t="n">
        <v>16625</v>
      </c>
      <c r="F24" s="20" t="n">
        <v>31500</v>
      </c>
      <c r="G24" s="9" t="n">
        <v>27358.48</v>
      </c>
      <c r="H24" s="9" t="n">
        <v>5868</v>
      </c>
      <c r="I24" s="9" t="n">
        <v>17383.12</v>
      </c>
      <c r="J24" s="9" t="n">
        <v>7910</v>
      </c>
      <c r="K24" s="9" t="n">
        <f aca="false">(D24+E24+J24+G24+I24)/B24</f>
        <v>11812.73</v>
      </c>
      <c r="L24" s="9" t="n">
        <f aca="false">(F24+H24)/B24</f>
        <v>1868.4</v>
      </c>
      <c r="M24" s="9" t="n">
        <f aca="false">C24/B24</f>
        <v>13681.13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135050.37</v>
      </c>
      <c r="D25" s="9" t="n">
        <v>63733</v>
      </c>
      <c r="E25" s="9" t="n">
        <v>23115</v>
      </c>
      <c r="F25" s="9"/>
      <c r="G25" s="9" t="n">
        <v>21191.09</v>
      </c>
      <c r="H25" s="9" t="n">
        <v>4434</v>
      </c>
      <c r="I25" s="9" t="n">
        <v>22577.28</v>
      </c>
      <c r="J25" s="9"/>
      <c r="K25" s="9" t="n">
        <f aca="false">(D25+E25+J25+G25+I25)/B25</f>
        <v>12038.3751152074</v>
      </c>
      <c r="L25" s="9" t="n">
        <f aca="false">(F25+H25)/B25</f>
        <v>408.663594470046</v>
      </c>
      <c r="M25" s="9" t="n">
        <f aca="false">C25/B25</f>
        <v>12447.0387096774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4</v>
      </c>
      <c r="C26" s="9" t="n">
        <f aca="false">+D26+E26+F26+G26+H26+I26+J26</f>
        <v>28573.96</v>
      </c>
      <c r="D26" s="9" t="n">
        <v>4500</v>
      </c>
      <c r="E26" s="9" t="n">
        <v>6485</v>
      </c>
      <c r="F26" s="9"/>
      <c r="G26" s="9" t="n">
        <v>7362.09</v>
      </c>
      <c r="H26" s="9" t="n">
        <v>2216</v>
      </c>
      <c r="I26" s="9" t="n">
        <v>8010.87</v>
      </c>
      <c r="J26" s="9"/>
      <c r="K26" s="9" t="n">
        <f aca="false">(D26+E26+J26+G26+I26)/B26</f>
        <v>6589.49</v>
      </c>
      <c r="L26" s="9" t="n">
        <f aca="false">(F26+H26)/B26</f>
        <v>554</v>
      </c>
      <c r="M26" s="9" t="n">
        <f aca="false">C26/B26</f>
        <v>7143.49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48013.03</v>
      </c>
      <c r="D27" s="9" t="n">
        <v>31004</v>
      </c>
      <c r="E27" s="9"/>
      <c r="F27" s="9"/>
      <c r="G27" s="9" t="n">
        <v>7725.14</v>
      </c>
      <c r="H27" s="9" t="n">
        <v>1650</v>
      </c>
      <c r="I27" s="9" t="n">
        <v>7633.89</v>
      </c>
      <c r="J27" s="9"/>
      <c r="K27" s="9" t="n">
        <f aca="false">(D27+E27+J27+G27+I27)/B27</f>
        <v>8353.6990990991</v>
      </c>
      <c r="L27" s="9" t="n">
        <f aca="false">(F27+H27)/B27</f>
        <v>297.297297297297</v>
      </c>
      <c r="M27" s="9" t="n">
        <f aca="false">C27/B27</f>
        <v>8650.9963963964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48281.19</v>
      </c>
      <c r="D28" s="9" t="n">
        <v>33767</v>
      </c>
      <c r="E28" s="9"/>
      <c r="F28" s="9"/>
      <c r="G28" s="9" t="n">
        <v>5234.3</v>
      </c>
      <c r="H28" s="9" t="n">
        <v>1650</v>
      </c>
      <c r="I28" s="9" t="n">
        <v>7629.89</v>
      </c>
      <c r="J28" s="9"/>
      <c r="K28" s="9" t="n">
        <f aca="false">(D28+E28+J28+G28+I28)/B28</f>
        <v>7746.04485049834</v>
      </c>
      <c r="L28" s="9" t="n">
        <f aca="false">(F28+H28)/B28</f>
        <v>274.086378737542</v>
      </c>
      <c r="M28" s="9" t="n">
        <f aca="false">C28/B28</f>
        <v>8020.13122923588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137721.68</v>
      </c>
      <c r="D29" s="9" t="n">
        <v>90022</v>
      </c>
      <c r="E29" s="9" t="n">
        <v>24800</v>
      </c>
      <c r="F29" s="9"/>
      <c r="G29" s="9" t="n">
        <v>12678.84</v>
      </c>
      <c r="H29" s="9" t="n">
        <v>1985</v>
      </c>
      <c r="I29" s="9" t="n">
        <v>8235.84</v>
      </c>
      <c r="J29" s="9"/>
      <c r="K29" s="9" t="n">
        <f aca="false">(D29+E29+J29+G29+I29)/B29</f>
        <v>11803.1895652174</v>
      </c>
      <c r="L29" s="9" t="n">
        <f aca="false">(F29+H29)/B29</f>
        <v>172.608695652174</v>
      </c>
      <c r="M29" s="9" t="n">
        <f aca="false">C29/B29</f>
        <v>11975.7982608696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44718.31</v>
      </c>
      <c r="D30" s="26" t="n">
        <v>32620</v>
      </c>
      <c r="E30" s="9" t="n">
        <v>1800</v>
      </c>
      <c r="F30" s="9"/>
      <c r="G30" s="9" t="n">
        <v>7951.75</v>
      </c>
      <c r="H30" s="9" t="n">
        <v>532</v>
      </c>
      <c r="I30" s="9" t="n">
        <v>1814.56</v>
      </c>
      <c r="J30" s="9"/>
      <c r="K30" s="9" t="n">
        <f aca="false">(D30+E30+J30+G30+I30)/B30</f>
        <v>7126.82419354839</v>
      </c>
      <c r="L30" s="9" t="n">
        <f aca="false">(F30+H30)/B30</f>
        <v>85.8064516129032</v>
      </c>
      <c r="M30" s="9" t="n">
        <f aca="false">C30/B30</f>
        <v>7212.63064516129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37837.94</v>
      </c>
      <c r="D31" s="9" t="n">
        <v>21827</v>
      </c>
      <c r="E31" s="9"/>
      <c r="F31" s="9"/>
      <c r="G31" s="9" t="n">
        <v>10104.61</v>
      </c>
      <c r="H31" s="9" t="n">
        <v>410</v>
      </c>
      <c r="I31" s="9" t="n">
        <v>5496.33</v>
      </c>
      <c r="J31" s="9"/>
      <c r="K31" s="9" t="n">
        <f aca="false">(D31+E31+J31+G31+I31)/B31</f>
        <v>7061.87547169811</v>
      </c>
      <c r="L31" s="9" t="n">
        <f aca="false">(F31+H31)/B31</f>
        <v>77.3584905660377</v>
      </c>
      <c r="M31" s="9" t="n">
        <f aca="false">C31/B31</f>
        <v>7139.23396226415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272458.95</v>
      </c>
      <c r="D32" s="9" t="n">
        <v>177670</v>
      </c>
      <c r="E32" s="9" t="n">
        <v>31935</v>
      </c>
      <c r="F32" s="9"/>
      <c r="G32" s="9" t="n">
        <v>16257.08</v>
      </c>
      <c r="H32" s="9" t="n">
        <v>4078</v>
      </c>
      <c r="I32" s="9" t="n">
        <v>39268.87</v>
      </c>
      <c r="J32" s="9" t="n">
        <v>3250</v>
      </c>
      <c r="K32" s="9" t="n">
        <f aca="false">(D32+E32+J32+G32+I32)/B32</f>
        <v>18509.0310344828</v>
      </c>
      <c r="L32" s="9" t="n">
        <f aca="false">(F32+H32)/B32</f>
        <v>281.241379310345</v>
      </c>
      <c r="M32" s="9" t="n">
        <f aca="false">C32/B32</f>
        <v>18790.2724137931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P49"/>
  <printOptions headings="false" gridLines="false" gridLinesSet="true" horizontalCentered="false" verticalCentered="false"/>
  <pageMargins left="0" right="0" top="0" bottom="0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1" colorId="64" zoomScale="118" zoomScaleNormal="118" zoomScalePageLayoutView="100" workbookViewId="0">
      <selection pane="top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118081.1</v>
      </c>
      <c r="D2" s="9" t="n">
        <v>68973</v>
      </c>
      <c r="E2" s="9" t="n">
        <v>15100</v>
      </c>
      <c r="F2" s="9"/>
      <c r="G2" s="9" t="n">
        <v>22156.6</v>
      </c>
      <c r="H2" s="9" t="n">
        <v>900</v>
      </c>
      <c r="I2" s="9" t="n">
        <v>10951.5</v>
      </c>
      <c r="J2" s="9"/>
      <c r="K2" s="9" t="n">
        <f aca="false">(D2+E2+J2+G2+I2)/B2</f>
        <v>12155.7157676349</v>
      </c>
      <c r="L2" s="9" t="n">
        <f aca="false">(F2+H2)/B2</f>
        <v>93.3609958506224</v>
      </c>
      <c r="M2" s="9" t="n">
        <f aca="false">C2/B2</f>
        <v>12249.0767634855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59274.52</v>
      </c>
      <c r="D3" s="9" t="n">
        <v>46945</v>
      </c>
      <c r="E3" s="9"/>
      <c r="F3" s="9"/>
      <c r="G3" s="9" t="n">
        <v>8291.51</v>
      </c>
      <c r="H3" s="9"/>
      <c r="I3" s="9" t="n">
        <v>4038.01</v>
      </c>
      <c r="J3" s="9"/>
      <c r="K3" s="9" t="n">
        <f aca="false">(D3+E3+J3+G3+I3)/B3</f>
        <v>6813.16321839081</v>
      </c>
      <c r="L3" s="9" t="n">
        <f aca="false">(F3+H3)/B3</f>
        <v>0</v>
      </c>
      <c r="M3" s="9" t="n">
        <f aca="false">C3/B3</f>
        <v>6813.16321839081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49660.52</v>
      </c>
      <c r="D4" s="9" t="n">
        <v>37331</v>
      </c>
      <c r="E4" s="9"/>
      <c r="F4" s="9"/>
      <c r="G4" s="9" t="n">
        <v>8291.51</v>
      </c>
      <c r="H4" s="9"/>
      <c r="I4" s="9" t="n">
        <v>4038.01</v>
      </c>
      <c r="J4" s="9"/>
      <c r="K4" s="9" t="n">
        <f aca="false">(D4+E4+J4+G4+I4)/B4</f>
        <v>7759.45625</v>
      </c>
      <c r="L4" s="9" t="n">
        <f aca="false">(F4+H4)/B4</f>
        <v>0</v>
      </c>
      <c r="M4" s="9" t="n">
        <f aca="false">C4/B4</f>
        <v>7759.45625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204669.17</v>
      </c>
      <c r="D5" s="9" t="n">
        <v>124329</v>
      </c>
      <c r="E5" s="9" t="n">
        <v>32250</v>
      </c>
      <c r="F5" s="9" t="n">
        <v>15225</v>
      </c>
      <c r="G5" s="9" t="n">
        <v>25781.7</v>
      </c>
      <c r="H5" s="9"/>
      <c r="I5" s="9" t="n">
        <v>7083.47</v>
      </c>
      <c r="J5" s="9"/>
      <c r="K5" s="9" t="n">
        <f aca="false">(D5+E5+J5+G5+I5)/B5</f>
        <v>12671.8508361204</v>
      </c>
      <c r="L5" s="9" t="n">
        <f aca="false">(F5+H5)/B5</f>
        <v>1018.39464882943</v>
      </c>
      <c r="M5" s="9" t="n">
        <f aca="false">C5/B5</f>
        <v>13690.2454849498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85564.08</v>
      </c>
      <c r="D6" s="9" t="n">
        <v>50481</v>
      </c>
      <c r="E6" s="9" t="n">
        <v>13570</v>
      </c>
      <c r="F6" s="9"/>
      <c r="G6" s="9" t="n">
        <v>13070.43</v>
      </c>
      <c r="H6" s="9" t="n">
        <v>450</v>
      </c>
      <c r="I6" s="9" t="n">
        <v>7992.65</v>
      </c>
      <c r="J6" s="9"/>
      <c r="K6" s="9" t="n">
        <f aca="false">(D6+E6+J6+G6+I6)/B6</f>
        <v>13094.4738461538</v>
      </c>
      <c r="L6" s="9" t="n">
        <f aca="false">(F6+H6)/B6</f>
        <v>69.2307692307692</v>
      </c>
      <c r="M6" s="9" t="n">
        <f aca="false">C6/B6</f>
        <v>13163.7046153846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88772.29</v>
      </c>
      <c r="D7" s="9" t="n">
        <v>46524</v>
      </c>
      <c r="E7" s="9" t="n">
        <v>11510</v>
      </c>
      <c r="F7" s="9"/>
      <c r="G7" s="9" t="n">
        <v>21232.48</v>
      </c>
      <c r="H7" s="9" t="n">
        <v>450</v>
      </c>
      <c r="I7" s="9" t="n">
        <v>8405.81</v>
      </c>
      <c r="J7" s="9" t="n">
        <v>650</v>
      </c>
      <c r="K7" s="9" t="n">
        <f aca="false">(D7+E7+J7+G7+I7)/B7</f>
        <v>8246.71241830065</v>
      </c>
      <c r="L7" s="9" t="n">
        <f aca="false">(F7+H7)/B7</f>
        <v>42.0168067226891</v>
      </c>
      <c r="M7" s="9" t="n">
        <f aca="false">C7/B7</f>
        <v>8288.72922502334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111226.76</v>
      </c>
      <c r="D8" s="9" t="n">
        <v>81604</v>
      </c>
      <c r="E8" s="9" t="n">
        <v>6340</v>
      </c>
      <c r="F8" s="9"/>
      <c r="G8" s="9" t="n">
        <v>7997.48</v>
      </c>
      <c r="H8" s="9" t="n">
        <v>10650.6</v>
      </c>
      <c r="I8" s="9" t="n">
        <v>4634.68</v>
      </c>
      <c r="J8" s="9"/>
      <c r="K8" s="9" t="n">
        <f aca="false">(D8+E8+J8+G8+I8)/B8</f>
        <v>13930.216066482</v>
      </c>
      <c r="L8" s="9" t="n">
        <f aca="false">(F8+H8)/B8</f>
        <v>1475.15235457064</v>
      </c>
      <c r="M8" s="9" t="n">
        <f aca="false">C8/B8</f>
        <v>15405.3684210526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167020.7</v>
      </c>
      <c r="D9" s="9" t="n">
        <v>99570</v>
      </c>
      <c r="E9" s="9" t="n">
        <v>34495</v>
      </c>
      <c r="F9" s="9"/>
      <c r="G9" s="9" t="n">
        <v>17860.36</v>
      </c>
      <c r="H9" s="9" t="n">
        <v>4140</v>
      </c>
      <c r="I9" s="9" t="n">
        <v>10175.34</v>
      </c>
      <c r="J9" s="9" t="n">
        <v>780</v>
      </c>
      <c r="K9" s="9" t="n">
        <f aca="false">(D9+E9+J9+G9+I9)/B9</f>
        <v>13745.2067510549</v>
      </c>
      <c r="L9" s="9" t="n">
        <f aca="false">(F9+H9)/B9</f>
        <v>349.367088607595</v>
      </c>
      <c r="M9" s="9" t="n">
        <f aca="false">C9/B9</f>
        <v>14094.5738396624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169647.09</v>
      </c>
      <c r="D10" s="9" t="n">
        <v>108666</v>
      </c>
      <c r="E10" s="9" t="n">
        <v>9690</v>
      </c>
      <c r="F10" s="9"/>
      <c r="G10" s="9" t="n">
        <v>18810.43</v>
      </c>
      <c r="H10" s="9" t="n">
        <v>18000.6</v>
      </c>
      <c r="I10" s="9" t="n">
        <v>12520.06</v>
      </c>
      <c r="J10" s="9" t="n">
        <v>1960</v>
      </c>
      <c r="K10" s="9" t="n">
        <f aca="false">(D10+E10+J10+G10+I10)/B10</f>
        <v>16573.3868852459</v>
      </c>
      <c r="L10" s="9" t="n">
        <f aca="false">(F10+H10)/B10</f>
        <v>1967.27868852459</v>
      </c>
      <c r="M10" s="9" t="n">
        <f aca="false">C10/B10</f>
        <v>18540.6655737705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73175.69</v>
      </c>
      <c r="D11" s="9" t="n">
        <v>47672</v>
      </c>
      <c r="E11" s="9" t="n">
        <v>4000</v>
      </c>
      <c r="F11" s="9"/>
      <c r="G11" s="9" t="n">
        <v>11262.97</v>
      </c>
      <c r="H11" s="9" t="n">
        <v>4680</v>
      </c>
      <c r="I11" s="9" t="n">
        <v>5560.72</v>
      </c>
      <c r="J11" s="9"/>
      <c r="K11" s="9" t="n">
        <f aca="false">(D11+E11+J11+G11+I11)/B11</f>
        <v>9012.59078947369</v>
      </c>
      <c r="L11" s="9" t="n">
        <f aca="false">(F11+H11)/B11</f>
        <v>615.789473684211</v>
      </c>
      <c r="M11" s="9" t="n">
        <f aca="false">C11/B11</f>
        <v>9628.3802631579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102576.33</v>
      </c>
      <c r="D12" s="9" t="n">
        <v>57789</v>
      </c>
      <c r="E12" s="9" t="n">
        <v>5622</v>
      </c>
      <c r="F12" s="9" t="n">
        <v>13800</v>
      </c>
      <c r="G12" s="9" t="n">
        <v>13054.93</v>
      </c>
      <c r="H12" s="9" t="n">
        <v>900</v>
      </c>
      <c r="I12" s="9" t="n">
        <v>7745.4</v>
      </c>
      <c r="J12" s="9" t="n">
        <v>3665</v>
      </c>
      <c r="K12" s="9" t="n">
        <f aca="false">(D12+E12+J12+G12+I12)/B12</f>
        <v>6276.88071428571</v>
      </c>
      <c r="L12" s="9" t="n">
        <f aca="false">(F12+H12)/B12</f>
        <v>1050</v>
      </c>
      <c r="M12" s="9" t="n">
        <f aca="false">C12/B12</f>
        <v>7326.88071428571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30729.02</v>
      </c>
      <c r="D13" s="9" t="n">
        <v>16797</v>
      </c>
      <c r="E13" s="9"/>
      <c r="F13" s="9"/>
      <c r="G13" s="9" t="n">
        <v>12002.18</v>
      </c>
      <c r="H13" s="9"/>
      <c r="I13" s="9" t="n">
        <v>1929.84</v>
      </c>
      <c r="J13" s="9"/>
      <c r="K13" s="9" t="n">
        <f aca="false">(D13+E13+J13+G13+I13)/B13</f>
        <v>5155.87583892618</v>
      </c>
      <c r="L13" s="9" t="n">
        <f aca="false">(F13+H13)/B13</f>
        <v>0</v>
      </c>
      <c r="M13" s="9" t="n">
        <f aca="false">C13/B13</f>
        <v>5155.87583892618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71593.27</v>
      </c>
      <c r="D14" s="9" t="n">
        <v>48519</v>
      </c>
      <c r="E14" s="9" t="n">
        <v>13300</v>
      </c>
      <c r="F14" s="9"/>
      <c r="G14" s="9" t="n">
        <v>5917.67</v>
      </c>
      <c r="H14" s="9"/>
      <c r="I14" s="9" t="n">
        <v>3106.6</v>
      </c>
      <c r="J14" s="9" t="n">
        <v>750</v>
      </c>
      <c r="K14" s="9" t="n">
        <f aca="false">(D14+E14+J14+G14+I14)/B14</f>
        <v>16271.1977272727</v>
      </c>
      <c r="L14" s="9" t="n">
        <f aca="false">(F14+H14)/B14</f>
        <v>0</v>
      </c>
      <c r="M14" s="9" t="n">
        <f aca="false">C14/B14</f>
        <v>16271.1977272727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112486.77</v>
      </c>
      <c r="D15" s="9" t="n">
        <v>68954</v>
      </c>
      <c r="E15" s="9" t="n">
        <v>5985</v>
      </c>
      <c r="F15" s="9"/>
      <c r="G15" s="9" t="n">
        <v>9326.08</v>
      </c>
      <c r="H15" s="9" t="n">
        <v>22800</v>
      </c>
      <c r="I15" s="9" t="n">
        <v>5421.69</v>
      </c>
      <c r="J15" s="9"/>
      <c r="K15" s="9" t="n">
        <f aca="false">(D15+E15+J15+G15+I15)/B15</f>
        <v>16826.7861163227</v>
      </c>
      <c r="L15" s="9" t="n">
        <f aca="false">(F15+H15)/B15</f>
        <v>4277.67354596623</v>
      </c>
      <c r="M15" s="9" t="n">
        <f aca="false">C15/B15</f>
        <v>21104.4596622889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213019.3</v>
      </c>
      <c r="D16" s="9" t="n">
        <v>152834</v>
      </c>
      <c r="E16" s="9" t="n">
        <v>35120</v>
      </c>
      <c r="F16" s="9"/>
      <c r="G16" s="9" t="n">
        <v>10007.54</v>
      </c>
      <c r="H16" s="9"/>
      <c r="I16" s="9" t="n">
        <v>15057.76</v>
      </c>
      <c r="J16" s="9"/>
      <c r="K16" s="9" t="n">
        <f aca="false">(D16+E16+J16+G16+I16)/B16</f>
        <v>20681.4854368932</v>
      </c>
      <c r="L16" s="9" t="n">
        <f aca="false">(F16+H16)/B16</f>
        <v>0</v>
      </c>
      <c r="M16" s="9" t="n">
        <f aca="false">C16/B16</f>
        <v>20681.4854368932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50991.76</v>
      </c>
      <c r="D17" s="9" t="n">
        <v>31372</v>
      </c>
      <c r="E17" s="9"/>
      <c r="F17" s="9"/>
      <c r="G17" s="9" t="n">
        <v>13707.83</v>
      </c>
      <c r="H17" s="9"/>
      <c r="I17" s="9" t="n">
        <v>5911.93</v>
      </c>
      <c r="J17" s="9"/>
      <c r="K17" s="9" t="n">
        <f aca="false">(D17+E17+J17+G17+I17)/B17</f>
        <v>8498.62666666667</v>
      </c>
      <c r="L17" s="9" t="n">
        <f aca="false">(F17+H17)/B17</f>
        <v>0</v>
      </c>
      <c r="M17" s="9" t="n">
        <f aca="false">C17/B17</f>
        <v>8498.62666666667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110878.5</v>
      </c>
      <c r="D18" s="9" t="n">
        <v>78094</v>
      </c>
      <c r="E18" s="9" t="n">
        <v>11387</v>
      </c>
      <c r="F18" s="9"/>
      <c r="G18" s="9" t="n">
        <v>13194.63</v>
      </c>
      <c r="H18" s="9"/>
      <c r="I18" s="9" t="n">
        <v>8202.87</v>
      </c>
      <c r="J18" s="9"/>
      <c r="K18" s="9" t="n">
        <f aca="false">(D18+E18+J18+G18+I18)/B18</f>
        <v>14215.1923076923</v>
      </c>
      <c r="L18" s="9" t="n">
        <f aca="false">(F18+H18)/B18</f>
        <v>0</v>
      </c>
      <c r="M18" s="9" t="n">
        <f aca="false">C18/B18</f>
        <v>14215.1923076923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83177.58</v>
      </c>
      <c r="D19" s="9" t="n">
        <v>51748</v>
      </c>
      <c r="E19" s="9"/>
      <c r="F19" s="9"/>
      <c r="G19" s="9" t="n">
        <v>10622.56</v>
      </c>
      <c r="H19" s="9" t="n">
        <v>8748</v>
      </c>
      <c r="I19" s="9" t="n">
        <v>9126.02</v>
      </c>
      <c r="J19" s="9" t="n">
        <v>2933</v>
      </c>
      <c r="K19" s="9" t="n">
        <f aca="false">(D19+E19+J19+G19+I19)/B19</f>
        <v>12404.93</v>
      </c>
      <c r="L19" s="9" t="n">
        <f aca="false">(F19+H19)/B19</f>
        <v>1458</v>
      </c>
      <c r="M19" s="9" t="n">
        <f aca="false">C19/B19</f>
        <v>13862.93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86441.33</v>
      </c>
      <c r="D20" s="9" t="n">
        <v>42817</v>
      </c>
      <c r="E20" s="9" t="n">
        <v>16266</v>
      </c>
      <c r="F20" s="9"/>
      <c r="G20" s="9" t="n">
        <v>16918.2</v>
      </c>
      <c r="H20" s="9"/>
      <c r="I20" s="9" t="n">
        <v>9660.13</v>
      </c>
      <c r="J20" s="9" t="n">
        <v>780</v>
      </c>
      <c r="K20" s="9" t="n">
        <f aca="false">(D20+E20+J20+G20+I20)/B20</f>
        <v>15435.9517857143</v>
      </c>
      <c r="L20" s="9" t="n">
        <f aca="false">(F20+H20)/B20</f>
        <v>0</v>
      </c>
      <c r="M20" s="9" t="n">
        <f aca="false">C20/B20</f>
        <v>15435.9517857143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92816.19</v>
      </c>
      <c r="D21" s="9" t="n">
        <v>50245</v>
      </c>
      <c r="E21" s="9" t="n">
        <v>19400</v>
      </c>
      <c r="F21" s="9"/>
      <c r="G21" s="9" t="n">
        <v>16945</v>
      </c>
      <c r="H21" s="9"/>
      <c r="I21" s="9" t="n">
        <v>6226.19</v>
      </c>
      <c r="J21" s="9"/>
      <c r="K21" s="9" t="n">
        <f aca="false">(D21+E21+J21+G21+I21)/B21</f>
        <v>12542.7283783784</v>
      </c>
      <c r="L21" s="9" t="n">
        <f aca="false">(F21+H21)/B21</f>
        <v>0</v>
      </c>
      <c r="M21" s="9" t="n">
        <f aca="false">C21/B21</f>
        <v>12542.7283783784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139426.35</v>
      </c>
      <c r="D22" s="9" t="n">
        <v>99267</v>
      </c>
      <c r="E22" s="9" t="n">
        <v>16940</v>
      </c>
      <c r="F22" s="9"/>
      <c r="G22" s="9" t="n">
        <v>16012.75</v>
      </c>
      <c r="H22" s="9"/>
      <c r="I22" s="9" t="n">
        <v>7206.6</v>
      </c>
      <c r="J22" s="9"/>
      <c r="K22" s="9" t="n">
        <f aca="false">(D22+E22+J22+G22+I22)/B22</f>
        <v>16941.2332928311</v>
      </c>
      <c r="L22" s="9" t="n">
        <f aca="false">(F22+H22)/B22</f>
        <v>0</v>
      </c>
      <c r="M22" s="9" t="n">
        <f aca="false">C22/B22</f>
        <v>16941.2332928311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27255.73</v>
      </c>
      <c r="D23" s="9" t="n">
        <v>22308</v>
      </c>
      <c r="E23" s="9" t="n">
        <v>1500</v>
      </c>
      <c r="F23" s="9"/>
      <c r="G23" s="9" t="n">
        <v>1500.67</v>
      </c>
      <c r="H23" s="9"/>
      <c r="I23" s="9" t="n">
        <v>422.06</v>
      </c>
      <c r="J23" s="9" t="n">
        <v>1525</v>
      </c>
      <c r="K23" s="9" t="n">
        <f aca="false">(D23+E23+J23+G23+I23)/B23</f>
        <v>6813.9325</v>
      </c>
      <c r="L23" s="9" t="n">
        <f aca="false">(F23+H23)/B23</f>
        <v>0</v>
      </c>
      <c r="M23" s="9" t="n">
        <f aca="false">C23/B23</f>
        <v>6813.9325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253289.6</v>
      </c>
      <c r="D24" s="9" t="n">
        <v>186337</v>
      </c>
      <c r="E24" s="9" t="n">
        <v>16470</v>
      </c>
      <c r="F24" s="20"/>
      <c r="G24" s="9" t="n">
        <v>27358.48</v>
      </c>
      <c r="H24" s="9"/>
      <c r="I24" s="9" t="n">
        <v>17383.12</v>
      </c>
      <c r="J24" s="9" t="n">
        <v>5741</v>
      </c>
      <c r="K24" s="9" t="n">
        <f aca="false">(D24+E24+J24+G24+I24)/B24</f>
        <v>12664.48</v>
      </c>
      <c r="L24" s="9" t="n">
        <f aca="false">(F24+H24)/B24</f>
        <v>0</v>
      </c>
      <c r="M24" s="9" t="n">
        <f aca="false">C24/B24</f>
        <v>12664.48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139778.87</v>
      </c>
      <c r="D25" s="9" t="n">
        <v>68262</v>
      </c>
      <c r="E25" s="9" t="n">
        <v>20325</v>
      </c>
      <c r="F25" s="9"/>
      <c r="G25" s="9" t="n">
        <v>21191.09</v>
      </c>
      <c r="H25" s="9" t="n">
        <v>7423.5</v>
      </c>
      <c r="I25" s="9" t="n">
        <v>22577.28</v>
      </c>
      <c r="J25" s="9"/>
      <c r="K25" s="9" t="n">
        <f aca="false">(D25+E25+J25+G25+I25)/B25</f>
        <v>12198.6516129032</v>
      </c>
      <c r="L25" s="9" t="n">
        <f aca="false">(F25+H25)/B25</f>
        <v>684.193548387097</v>
      </c>
      <c r="M25" s="9" t="n">
        <f aca="false">C25/B25</f>
        <v>12882.8451612903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4</v>
      </c>
      <c r="C26" s="9" t="n">
        <f aca="false">+D26+E26+F26+G26+H26+I26+J26</f>
        <v>29834.96</v>
      </c>
      <c r="D26" s="9" t="n">
        <v>7902</v>
      </c>
      <c r="E26" s="9" t="n">
        <v>6560</v>
      </c>
      <c r="F26" s="9"/>
      <c r="G26" s="9" t="n">
        <v>7362.09</v>
      </c>
      <c r="H26" s="9"/>
      <c r="I26" s="9" t="n">
        <v>8010.87</v>
      </c>
      <c r="J26" s="9"/>
      <c r="K26" s="9" t="n">
        <f aca="false">(D26+E26+J26+G26+I26)/B26</f>
        <v>7458.74</v>
      </c>
      <c r="L26" s="9" t="n">
        <f aca="false">(F26+H26)/B26</f>
        <v>0</v>
      </c>
      <c r="M26" s="9" t="n">
        <f aca="false">C26/B26</f>
        <v>7458.74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48539.03</v>
      </c>
      <c r="D27" s="9" t="n">
        <v>33180</v>
      </c>
      <c r="E27" s="9"/>
      <c r="F27" s="9"/>
      <c r="G27" s="9" t="n">
        <v>7725.14</v>
      </c>
      <c r="H27" s="9"/>
      <c r="I27" s="9" t="n">
        <v>7633.89</v>
      </c>
      <c r="J27" s="9"/>
      <c r="K27" s="9" t="n">
        <f aca="false">(D27+E27+J27+G27+I27)/B27</f>
        <v>8745.77117117117</v>
      </c>
      <c r="L27" s="9" t="n">
        <f aca="false">(F27+H27)/B27</f>
        <v>0</v>
      </c>
      <c r="M27" s="9" t="n">
        <f aca="false">C27/B27</f>
        <v>8745.77117117117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54310.19</v>
      </c>
      <c r="D28" s="9" t="n">
        <v>41446</v>
      </c>
      <c r="E28" s="9"/>
      <c r="F28" s="9"/>
      <c r="G28" s="9" t="n">
        <v>5234.3</v>
      </c>
      <c r="H28" s="9"/>
      <c r="I28" s="9" t="n">
        <v>7629.89</v>
      </c>
      <c r="J28" s="9"/>
      <c r="K28" s="9" t="n">
        <f aca="false">(D28+E28+J28+G28+I28)/B28</f>
        <v>9021.62624584718</v>
      </c>
      <c r="L28" s="9" t="n">
        <f aca="false">(F28+H28)/B28</f>
        <v>0</v>
      </c>
      <c r="M28" s="9" t="n">
        <f aca="false">C28/B28</f>
        <v>9021.62624584718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108198.68</v>
      </c>
      <c r="D29" s="9" t="n">
        <v>71984</v>
      </c>
      <c r="E29" s="9" t="n">
        <v>14560</v>
      </c>
      <c r="F29" s="9"/>
      <c r="G29" s="9" t="n">
        <v>12678.84</v>
      </c>
      <c r="H29" s="9"/>
      <c r="I29" s="9" t="n">
        <v>8235.84</v>
      </c>
      <c r="J29" s="9" t="n">
        <v>740</v>
      </c>
      <c r="K29" s="9" t="n">
        <f aca="false">(D29+E29+J29+G29+I29)/B29</f>
        <v>9408.58086956522</v>
      </c>
      <c r="L29" s="9" t="n">
        <f aca="false">(F29+H29)/B29</f>
        <v>0</v>
      </c>
      <c r="M29" s="9" t="n">
        <f aca="false">C29/B29</f>
        <v>9408.58086956522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40149.31</v>
      </c>
      <c r="D30" s="26" t="n">
        <v>28483</v>
      </c>
      <c r="E30" s="9" t="n">
        <v>1900</v>
      </c>
      <c r="F30" s="9"/>
      <c r="G30" s="9" t="n">
        <v>7951.75</v>
      </c>
      <c r="H30" s="9"/>
      <c r="I30" s="9" t="n">
        <v>1814.56</v>
      </c>
      <c r="J30" s="9"/>
      <c r="K30" s="9" t="n">
        <f aca="false">(D30+E30+J30+G30+I30)/B30</f>
        <v>6475.69516129032</v>
      </c>
      <c r="L30" s="9" t="n">
        <f aca="false">(F30+H30)/B30</f>
        <v>0</v>
      </c>
      <c r="M30" s="9" t="n">
        <f aca="false">C30/B30</f>
        <v>6475.69516129032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40712.94</v>
      </c>
      <c r="D31" s="9" t="n">
        <v>21512</v>
      </c>
      <c r="E31" s="9"/>
      <c r="F31" s="9"/>
      <c r="G31" s="9" t="n">
        <v>10104.61</v>
      </c>
      <c r="H31" s="9" t="n">
        <v>3600</v>
      </c>
      <c r="I31" s="9" t="n">
        <v>5496.33</v>
      </c>
      <c r="J31" s="9"/>
      <c r="K31" s="9" t="n">
        <f aca="false">(D31+E31+J31+G31+I31)/B31</f>
        <v>7002.44150943396</v>
      </c>
      <c r="L31" s="9" t="n">
        <f aca="false">(F31+H31)/B31</f>
        <v>679.245283018868</v>
      </c>
      <c r="M31" s="9" t="n">
        <f aca="false">C31/B31</f>
        <v>7681.68679245283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223261.95</v>
      </c>
      <c r="D32" s="9" t="n">
        <v>141531</v>
      </c>
      <c r="E32" s="9" t="n">
        <v>26205</v>
      </c>
      <c r="F32" s="9"/>
      <c r="G32" s="9" t="n">
        <v>16257.08</v>
      </c>
      <c r="H32" s="9"/>
      <c r="I32" s="9" t="n">
        <v>39268.87</v>
      </c>
      <c r="J32" s="9"/>
      <c r="K32" s="9" t="n">
        <f aca="false">(D32+E32+J32+G32+I32)/B32</f>
        <v>15397.375862069</v>
      </c>
      <c r="L32" s="9" t="n">
        <f aca="false">(F32+H32)/B32</f>
        <v>0</v>
      </c>
      <c r="M32" s="9" t="n">
        <f aca="false">C32/B32</f>
        <v>15397.375862069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pane xSplit="0" ySplit="7" topLeftCell="A17" activePane="bottomLeft" state="frozen"/>
      <selection pane="topLeft" activeCell="A1" activeCellId="0" sqref="A1"/>
      <selection pane="bottom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124186.1</v>
      </c>
      <c r="D2" s="9" t="n">
        <v>60378</v>
      </c>
      <c r="E2" s="9" t="n">
        <v>23300</v>
      </c>
      <c r="F2" s="9"/>
      <c r="G2" s="9" t="n">
        <v>22156.6</v>
      </c>
      <c r="H2" s="9"/>
      <c r="I2" s="9" t="n">
        <v>10951.5</v>
      </c>
      <c r="J2" s="9" t="n">
        <v>7400</v>
      </c>
      <c r="K2" s="9" t="n">
        <f aca="false">(D2+E2+J2+G2+I2)/B2</f>
        <v>12882.3755186722</v>
      </c>
      <c r="L2" s="9" t="n">
        <f aca="false">(F2+H2)/B2</f>
        <v>0</v>
      </c>
      <c r="M2" s="9" t="n">
        <f aca="false">C2/B2</f>
        <v>12882.3755186722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64558.52</v>
      </c>
      <c r="D3" s="9" t="n">
        <v>51144</v>
      </c>
      <c r="E3" s="9"/>
      <c r="F3" s="9"/>
      <c r="G3" s="9" t="n">
        <v>8291.51</v>
      </c>
      <c r="H3" s="9"/>
      <c r="I3" s="9" t="n">
        <v>4038.01</v>
      </c>
      <c r="J3" s="9" t="n">
        <v>1085</v>
      </c>
      <c r="K3" s="9" t="n">
        <f aca="false">(D3+E3+J3+G3+I3)/B3</f>
        <v>7420.51954022989</v>
      </c>
      <c r="L3" s="9" t="n">
        <f aca="false">(F3+H3)/B3</f>
        <v>0</v>
      </c>
      <c r="M3" s="9" t="n">
        <f aca="false">C3/B3</f>
        <v>7420.51954022989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60659.52</v>
      </c>
      <c r="D4" s="9" t="n">
        <v>48330</v>
      </c>
      <c r="E4" s="9"/>
      <c r="F4" s="9"/>
      <c r="G4" s="9" t="n">
        <v>8291.51</v>
      </c>
      <c r="H4" s="9"/>
      <c r="I4" s="9" t="n">
        <v>4038.01</v>
      </c>
      <c r="J4" s="9"/>
      <c r="K4" s="9" t="n">
        <f aca="false">(D4+E4+J4+G4+I4)/B4</f>
        <v>9478.05</v>
      </c>
      <c r="L4" s="9" t="n">
        <f aca="false">(F4+H4)/B4</f>
        <v>0</v>
      </c>
      <c r="M4" s="9" t="n">
        <f aca="false">C4/B4</f>
        <v>9478.05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238802.17</v>
      </c>
      <c r="D5" s="9" t="n">
        <v>156587</v>
      </c>
      <c r="E5" s="9" t="n">
        <v>49350</v>
      </c>
      <c r="F5" s="9"/>
      <c r="G5" s="9" t="n">
        <v>25781.7</v>
      </c>
      <c r="H5" s="9"/>
      <c r="I5" s="9" t="n">
        <v>7083.47</v>
      </c>
      <c r="J5" s="9"/>
      <c r="K5" s="9" t="n">
        <f aca="false">(D5+E5+J5+G5+I5)/B5</f>
        <v>15973.3892976589</v>
      </c>
      <c r="L5" s="9" t="n">
        <f aca="false">(F5+H5)/B5</f>
        <v>0</v>
      </c>
      <c r="M5" s="9" t="n">
        <f aca="false">C5/B5</f>
        <v>15973.3892976589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77180.08</v>
      </c>
      <c r="D6" s="9" t="n">
        <v>42973</v>
      </c>
      <c r="E6" s="9" t="n">
        <v>13144</v>
      </c>
      <c r="F6" s="9"/>
      <c r="G6" s="9" t="n">
        <v>13070.43</v>
      </c>
      <c r="H6" s="9"/>
      <c r="I6" s="9" t="n">
        <v>7992.65</v>
      </c>
      <c r="J6" s="9"/>
      <c r="K6" s="9" t="n">
        <f aca="false">(D6+E6+J6+G6+I6)/B6</f>
        <v>11873.8584615385</v>
      </c>
      <c r="L6" s="9" t="n">
        <f aca="false">(F6+H6)/B6</f>
        <v>0</v>
      </c>
      <c r="M6" s="9" t="n">
        <f aca="false">C6/B6</f>
        <v>11873.8584615385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107706.29</v>
      </c>
      <c r="D7" s="9" t="n">
        <v>58218</v>
      </c>
      <c r="E7" s="9" t="n">
        <v>19850</v>
      </c>
      <c r="F7" s="9"/>
      <c r="G7" s="9" t="n">
        <v>21232.48</v>
      </c>
      <c r="H7" s="9"/>
      <c r="I7" s="9" t="n">
        <v>8405.81</v>
      </c>
      <c r="J7" s="9"/>
      <c r="K7" s="9" t="n">
        <f aca="false">(D7+E7+J7+G7+I7)/B7</f>
        <v>10056.6097105509</v>
      </c>
      <c r="L7" s="9" t="n">
        <f aca="false">(F7+H7)/B7</f>
        <v>0</v>
      </c>
      <c r="M7" s="9" t="n">
        <f aca="false">C7/B7</f>
        <v>10056.6097105509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110885.16</v>
      </c>
      <c r="D8" s="9" t="n">
        <v>81440</v>
      </c>
      <c r="E8" s="9" t="n">
        <v>16813</v>
      </c>
      <c r="F8" s="9"/>
      <c r="G8" s="9" t="n">
        <v>7997.48</v>
      </c>
      <c r="H8" s="9"/>
      <c r="I8" s="9" t="n">
        <v>4634.68</v>
      </c>
      <c r="J8" s="9"/>
      <c r="K8" s="9" t="n">
        <f aca="false">(D8+E8+J8+G8+I8)/B8</f>
        <v>15358.0554016621</v>
      </c>
      <c r="L8" s="9" t="n">
        <f aca="false">(F8+H8)/B8</f>
        <v>0</v>
      </c>
      <c r="M8" s="9" t="n">
        <f aca="false">C8/B8</f>
        <v>15358.0554016621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183273.7</v>
      </c>
      <c r="D9" s="9" t="n">
        <v>127198</v>
      </c>
      <c r="E9" s="9" t="n">
        <v>27040</v>
      </c>
      <c r="F9" s="9" t="n">
        <v>1000</v>
      </c>
      <c r="G9" s="9" t="n">
        <v>17860.36</v>
      </c>
      <c r="H9" s="9"/>
      <c r="I9" s="9" t="n">
        <v>10175.34</v>
      </c>
      <c r="J9" s="9"/>
      <c r="K9" s="9" t="n">
        <f aca="false">(D9+E9+J9+G9+I9)/B9</f>
        <v>15381.746835443</v>
      </c>
      <c r="L9" s="9" t="n">
        <f aca="false">(F9+H9)/B9</f>
        <v>84.3881856540084</v>
      </c>
      <c r="M9" s="9" t="n">
        <f aca="false">C9/B9</f>
        <v>15466.135021097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138451.49</v>
      </c>
      <c r="D10" s="9" t="n">
        <v>99551</v>
      </c>
      <c r="E10" s="9" t="n">
        <v>7570</v>
      </c>
      <c r="F10" s="9"/>
      <c r="G10" s="9" t="n">
        <v>18810.43</v>
      </c>
      <c r="H10" s="9"/>
      <c r="I10" s="9" t="n">
        <v>12520.06</v>
      </c>
      <c r="J10" s="9"/>
      <c r="K10" s="9" t="n">
        <f aca="false">(D10+E10+J10+G10+I10)/B10</f>
        <v>15131.3103825137</v>
      </c>
      <c r="L10" s="9" t="n">
        <f aca="false">(F10+H10)/B10</f>
        <v>0</v>
      </c>
      <c r="M10" s="9" t="n">
        <f aca="false">C10/B10</f>
        <v>15131.3103825137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74848.69</v>
      </c>
      <c r="D11" s="9" t="n">
        <v>47825</v>
      </c>
      <c r="E11" s="9" t="n">
        <v>10200</v>
      </c>
      <c r="F11" s="9"/>
      <c r="G11" s="9" t="n">
        <v>11262.97</v>
      </c>
      <c r="H11" s="9"/>
      <c r="I11" s="9" t="n">
        <v>5560.72</v>
      </c>
      <c r="J11" s="9"/>
      <c r="K11" s="9" t="n">
        <f aca="false">(D11+E11+J11+G11+I11)/B11</f>
        <v>9848.51184210527</v>
      </c>
      <c r="L11" s="9" t="n">
        <f aca="false">(F11+H11)/B11</f>
        <v>0</v>
      </c>
      <c r="M11" s="9" t="n">
        <f aca="false">C11/B11</f>
        <v>9848.51184210527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123333.33</v>
      </c>
      <c r="D12" s="9" t="n">
        <v>96398</v>
      </c>
      <c r="E12" s="9" t="n">
        <v>3000</v>
      </c>
      <c r="F12" s="9"/>
      <c r="G12" s="9" t="n">
        <v>13054.93</v>
      </c>
      <c r="H12" s="9"/>
      <c r="I12" s="9" t="n">
        <v>7745.4</v>
      </c>
      <c r="J12" s="9" t="n">
        <v>3135</v>
      </c>
      <c r="K12" s="9" t="n">
        <f aca="false">(D12+E12+J12+G12+I12)/B12</f>
        <v>8809.52357142857</v>
      </c>
      <c r="L12" s="9" t="n">
        <f aca="false">(F12+H12)/B12</f>
        <v>0</v>
      </c>
      <c r="M12" s="9" t="n">
        <f aca="false">C12/B12</f>
        <v>8809.52357142857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29617.02</v>
      </c>
      <c r="D13" s="9" t="n">
        <v>15685</v>
      </c>
      <c r="E13" s="9"/>
      <c r="F13" s="9"/>
      <c r="G13" s="9" t="n">
        <v>12002.18</v>
      </c>
      <c r="H13" s="9"/>
      <c r="I13" s="9" t="n">
        <v>1929.84</v>
      </c>
      <c r="J13" s="9"/>
      <c r="K13" s="9" t="n">
        <f aca="false">(D13+E13+J13+G13+I13)/B13</f>
        <v>4969.29865771812</v>
      </c>
      <c r="L13" s="9" t="n">
        <f aca="false">(F13+H13)/B13</f>
        <v>0</v>
      </c>
      <c r="M13" s="9" t="n">
        <f aca="false">C13/B13</f>
        <v>4969.29865771812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73089.27</v>
      </c>
      <c r="D14" s="9" t="n">
        <v>50665</v>
      </c>
      <c r="E14" s="9" t="n">
        <v>13400</v>
      </c>
      <c r="F14" s="9"/>
      <c r="G14" s="9" t="n">
        <v>5917.67</v>
      </c>
      <c r="H14" s="9"/>
      <c r="I14" s="9" t="n">
        <v>3106.6</v>
      </c>
      <c r="J14" s="9"/>
      <c r="K14" s="9" t="n">
        <f aca="false">(D14+E14+J14+G14+I14)/B14</f>
        <v>16611.1977272727</v>
      </c>
      <c r="L14" s="9" t="n">
        <f aca="false">(F14+H14)/B14</f>
        <v>0</v>
      </c>
      <c r="M14" s="9" t="n">
        <f aca="false">C14/B14</f>
        <v>16611.1977272727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85915.77</v>
      </c>
      <c r="D15" s="9" t="n">
        <v>63891</v>
      </c>
      <c r="E15" s="9" t="n">
        <v>7277</v>
      </c>
      <c r="F15" s="9"/>
      <c r="G15" s="9" t="n">
        <v>9326.08</v>
      </c>
      <c r="H15" s="9"/>
      <c r="I15" s="9" t="n">
        <v>5421.69</v>
      </c>
      <c r="J15" s="9"/>
      <c r="K15" s="9" t="n">
        <f aca="false">(D15+E15+J15+G15+I15)/B15</f>
        <v>16119.2814258912</v>
      </c>
      <c r="L15" s="9" t="n">
        <f aca="false">(F15+H15)/B15</f>
        <v>0</v>
      </c>
      <c r="M15" s="9" t="n">
        <f aca="false">C15/B15</f>
        <v>16119.2814258912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265097.3</v>
      </c>
      <c r="D16" s="9" t="n">
        <v>202772</v>
      </c>
      <c r="E16" s="9" t="n">
        <v>36570</v>
      </c>
      <c r="F16" s="9"/>
      <c r="G16" s="9" t="n">
        <v>10007.54</v>
      </c>
      <c r="H16" s="9"/>
      <c r="I16" s="9" t="n">
        <v>15057.76</v>
      </c>
      <c r="J16" s="9" t="n">
        <v>690</v>
      </c>
      <c r="K16" s="9" t="n">
        <f aca="false">(D16+E16+J16+G16+I16)/B16</f>
        <v>25737.6019417476</v>
      </c>
      <c r="L16" s="9" t="n">
        <f aca="false">(F16+H16)/B16</f>
        <v>0</v>
      </c>
      <c r="M16" s="9" t="n">
        <f aca="false">C16/B16</f>
        <v>25737.6019417476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59087.76</v>
      </c>
      <c r="D17" s="9" t="n">
        <v>36408</v>
      </c>
      <c r="E17" s="9" t="n">
        <v>3060</v>
      </c>
      <c r="F17" s="9"/>
      <c r="G17" s="9" t="n">
        <v>13707.83</v>
      </c>
      <c r="H17" s="9"/>
      <c r="I17" s="9" t="n">
        <v>5911.93</v>
      </c>
      <c r="J17" s="9"/>
      <c r="K17" s="9" t="n">
        <f aca="false">(D17+E17+J17+G17+I17)/B17</f>
        <v>9847.96</v>
      </c>
      <c r="L17" s="9" t="n">
        <f aca="false">(F17+H17)/B17</f>
        <v>0</v>
      </c>
      <c r="M17" s="9" t="n">
        <f aca="false">C17/B17</f>
        <v>9847.96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114791.5</v>
      </c>
      <c r="D18" s="9" t="n">
        <v>69500</v>
      </c>
      <c r="E18" s="9" t="n">
        <v>23894</v>
      </c>
      <c r="F18" s="9"/>
      <c r="G18" s="9" t="n">
        <v>13194.63</v>
      </c>
      <c r="H18" s="9"/>
      <c r="I18" s="9" t="n">
        <v>8202.87</v>
      </c>
      <c r="J18" s="9"/>
      <c r="K18" s="9" t="n">
        <f aca="false">(D18+E18+J18+G18+I18)/B18</f>
        <v>14716.858974359</v>
      </c>
      <c r="L18" s="9" t="n">
        <f aca="false">(F18+H18)/B18</f>
        <v>0</v>
      </c>
      <c r="M18" s="9" t="n">
        <f aca="false">C18/B18</f>
        <v>14716.858974359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89079.58</v>
      </c>
      <c r="D19" s="9" t="n">
        <v>68811</v>
      </c>
      <c r="E19" s="9"/>
      <c r="F19" s="9"/>
      <c r="G19" s="9" t="n">
        <v>10622.56</v>
      </c>
      <c r="H19" s="9"/>
      <c r="I19" s="9" t="n">
        <v>9126.02</v>
      </c>
      <c r="J19" s="9" t="n">
        <v>520</v>
      </c>
      <c r="K19" s="9" t="n">
        <f aca="false">(D19+E19+J19+G19+I19)/B19</f>
        <v>14846.5966666667</v>
      </c>
      <c r="L19" s="9" t="n">
        <f aca="false">(F19+H19)/B19</f>
        <v>0</v>
      </c>
      <c r="M19" s="9" t="n">
        <f aca="false">C19/B19</f>
        <v>14846.5966666667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99669.33</v>
      </c>
      <c r="D20" s="9" t="n">
        <v>56991</v>
      </c>
      <c r="E20" s="9" t="n">
        <v>16100</v>
      </c>
      <c r="F20" s="9"/>
      <c r="G20" s="9" t="n">
        <v>16918.2</v>
      </c>
      <c r="H20" s="9"/>
      <c r="I20" s="9" t="n">
        <v>9660.13</v>
      </c>
      <c r="J20" s="9"/>
      <c r="K20" s="9" t="n">
        <f aca="false">(D20+E20+J20+G20+I20)/B20</f>
        <v>17798.0946428571</v>
      </c>
      <c r="L20" s="9" t="n">
        <f aca="false">(F20+H20)/B20</f>
        <v>0</v>
      </c>
      <c r="M20" s="9" t="n">
        <f aca="false">C20/B20</f>
        <v>17798.0946428571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108988.19</v>
      </c>
      <c r="D21" s="9" t="n">
        <v>65367</v>
      </c>
      <c r="E21" s="9" t="n">
        <v>20450</v>
      </c>
      <c r="F21" s="9"/>
      <c r="G21" s="9" t="n">
        <v>16945</v>
      </c>
      <c r="H21" s="9"/>
      <c r="I21" s="9" t="n">
        <v>6226.19</v>
      </c>
      <c r="J21" s="9"/>
      <c r="K21" s="9" t="n">
        <f aca="false">(D21+E21+J21+G21+I21)/B21</f>
        <v>14728.1337837838</v>
      </c>
      <c r="L21" s="9" t="n">
        <f aca="false">(F21+H21)/B21</f>
        <v>0</v>
      </c>
      <c r="M21" s="9" t="n">
        <f aca="false">C21/B21</f>
        <v>14728.1337837838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133449.35</v>
      </c>
      <c r="D22" s="9" t="n">
        <v>96480</v>
      </c>
      <c r="E22" s="9" t="n">
        <v>13750</v>
      </c>
      <c r="F22" s="9"/>
      <c r="G22" s="9" t="n">
        <v>16012.75</v>
      </c>
      <c r="H22" s="9"/>
      <c r="I22" s="9" t="n">
        <v>7206.6</v>
      </c>
      <c r="J22" s="9"/>
      <c r="K22" s="9" t="n">
        <f aca="false">(D22+E22+J22+G22+I22)/B22</f>
        <v>16214.9878493317</v>
      </c>
      <c r="L22" s="9" t="n">
        <f aca="false">(F22+H22)/B22</f>
        <v>0</v>
      </c>
      <c r="M22" s="9" t="n">
        <f aca="false">C22/B22</f>
        <v>16214.9878493317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31652.73</v>
      </c>
      <c r="D23" s="9" t="n">
        <v>28230</v>
      </c>
      <c r="E23" s="9" t="n">
        <v>1500</v>
      </c>
      <c r="F23" s="9"/>
      <c r="G23" s="9" t="n">
        <v>1500.67</v>
      </c>
      <c r="H23" s="9"/>
      <c r="I23" s="9" t="n">
        <v>422.06</v>
      </c>
      <c r="J23" s="9"/>
      <c r="K23" s="9" t="n">
        <f aca="false">(D23+E23+J23+G23+I23)/B23</f>
        <v>7913.1825</v>
      </c>
      <c r="L23" s="9" t="n">
        <f aca="false">(F23+H23)/B23</f>
        <v>0</v>
      </c>
      <c r="M23" s="9" t="n">
        <f aca="false">C23/B23</f>
        <v>7913.1825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289341.6</v>
      </c>
      <c r="D24" s="9" t="n">
        <v>220275</v>
      </c>
      <c r="E24" s="9" t="n">
        <v>24325</v>
      </c>
      <c r="F24" s="20"/>
      <c r="G24" s="9" t="n">
        <v>27358.48</v>
      </c>
      <c r="H24" s="9"/>
      <c r="I24" s="9" t="n">
        <v>17383.12</v>
      </c>
      <c r="J24" s="9"/>
      <c r="K24" s="9" t="n">
        <f aca="false">(D24+E24+J24+G24+I24)/B24</f>
        <v>14467.08</v>
      </c>
      <c r="L24" s="9" t="n">
        <f aca="false">(F24+H24)/B24</f>
        <v>0</v>
      </c>
      <c r="M24" s="9" t="n">
        <f aca="false">C24/B24</f>
        <v>14467.08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143987.37</v>
      </c>
      <c r="D25" s="9" t="n">
        <v>75119</v>
      </c>
      <c r="E25" s="9" t="n">
        <v>25100</v>
      </c>
      <c r="F25" s="9"/>
      <c r="G25" s="9" t="n">
        <v>21191.09</v>
      </c>
      <c r="H25" s="9"/>
      <c r="I25" s="9" t="n">
        <v>22577.28</v>
      </c>
      <c r="J25" s="9"/>
      <c r="K25" s="9" t="n">
        <f aca="false">(D25+E25+J25+G25+I25)/B25</f>
        <v>13270.7253456221</v>
      </c>
      <c r="L25" s="9" t="n">
        <f aca="false">(F25+H25)/B25</f>
        <v>0</v>
      </c>
      <c r="M25" s="9" t="n">
        <f aca="false">C25/B25</f>
        <v>13270.7253456221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4</v>
      </c>
      <c r="C26" s="9" t="n">
        <f aca="false">+D26+E26+F26+G26+H26+I26+J26</f>
        <v>32945.96</v>
      </c>
      <c r="D26" s="9" t="n">
        <v>10473</v>
      </c>
      <c r="E26" s="9" t="n">
        <v>7100</v>
      </c>
      <c r="F26" s="9"/>
      <c r="G26" s="9" t="n">
        <v>7362.09</v>
      </c>
      <c r="H26" s="9"/>
      <c r="I26" s="9" t="n">
        <v>8010.87</v>
      </c>
      <c r="J26" s="9"/>
      <c r="K26" s="9" t="n">
        <f aca="false">(D26+E26+J26+G26+I26)/B26</f>
        <v>8236.49</v>
      </c>
      <c r="L26" s="9" t="n">
        <f aca="false">(F26+H26)/B26</f>
        <v>0</v>
      </c>
      <c r="M26" s="9" t="n">
        <f aca="false">C26/B26</f>
        <v>8236.49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56366.03</v>
      </c>
      <c r="D27" s="9" t="n">
        <v>41007</v>
      </c>
      <c r="E27" s="9"/>
      <c r="F27" s="9"/>
      <c r="G27" s="9" t="n">
        <v>7725.14</v>
      </c>
      <c r="H27" s="9"/>
      <c r="I27" s="9" t="n">
        <v>7633.89</v>
      </c>
      <c r="J27" s="9"/>
      <c r="K27" s="9" t="n">
        <f aca="false">(D27+E27+J27+G27+I27)/B27</f>
        <v>10156.0414414414</v>
      </c>
      <c r="L27" s="9" t="n">
        <f aca="false">(F27+H27)/B27</f>
        <v>0</v>
      </c>
      <c r="M27" s="9" t="n">
        <f aca="false">C27/B27</f>
        <v>10156.0414414414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63534.19</v>
      </c>
      <c r="D28" s="9" t="n">
        <v>50670</v>
      </c>
      <c r="E28" s="9"/>
      <c r="F28" s="9"/>
      <c r="G28" s="9" t="n">
        <v>5234.3</v>
      </c>
      <c r="H28" s="9"/>
      <c r="I28" s="9" t="n">
        <v>7629.89</v>
      </c>
      <c r="J28" s="9"/>
      <c r="K28" s="9" t="n">
        <f aca="false">(D28+E28+J28+G28+I28)/B28</f>
        <v>10553.8521594684</v>
      </c>
      <c r="L28" s="9" t="n">
        <f aca="false">(F28+H28)/B28</f>
        <v>0</v>
      </c>
      <c r="M28" s="9" t="n">
        <f aca="false">C28/B28</f>
        <v>10553.8521594684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111456.68</v>
      </c>
      <c r="D29" s="9" t="n">
        <v>86157</v>
      </c>
      <c r="E29" s="9" t="n">
        <v>2560</v>
      </c>
      <c r="F29" s="9"/>
      <c r="G29" s="9" t="n">
        <v>12678.84</v>
      </c>
      <c r="H29" s="9"/>
      <c r="I29" s="9" t="n">
        <v>8235.84</v>
      </c>
      <c r="J29" s="9" t="n">
        <v>1825</v>
      </c>
      <c r="K29" s="9" t="n">
        <f aca="false">(D29+E29+J29+G29+I29)/B29</f>
        <v>9691.8852173913</v>
      </c>
      <c r="L29" s="9" t="n">
        <f aca="false">(F29+H29)/B29</f>
        <v>0</v>
      </c>
      <c r="M29" s="9" t="n">
        <f aca="false">C29/B29</f>
        <v>9691.8852173913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48627.31</v>
      </c>
      <c r="D30" s="26" t="n">
        <v>33551</v>
      </c>
      <c r="E30" s="9" t="n">
        <v>5310</v>
      </c>
      <c r="F30" s="9"/>
      <c r="G30" s="9" t="n">
        <v>7951.75</v>
      </c>
      <c r="H30" s="9"/>
      <c r="I30" s="9" t="n">
        <v>1814.56</v>
      </c>
      <c r="J30" s="9"/>
      <c r="K30" s="9" t="n">
        <f aca="false">(D30+E30+J30+G30+I30)/B30</f>
        <v>7843.11451612903</v>
      </c>
      <c r="L30" s="9" t="n">
        <f aca="false">(F30+H30)/B30</f>
        <v>0</v>
      </c>
      <c r="M30" s="9" t="n">
        <f aca="false">C30/B30</f>
        <v>7843.11451612903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30805.94</v>
      </c>
      <c r="D31" s="9" t="n">
        <v>15205</v>
      </c>
      <c r="E31" s="9"/>
      <c r="F31" s="9"/>
      <c r="G31" s="9" t="n">
        <v>10104.61</v>
      </c>
      <c r="H31" s="9"/>
      <c r="I31" s="9" t="n">
        <v>5496.33</v>
      </c>
      <c r="J31" s="9"/>
      <c r="K31" s="9" t="n">
        <f aca="false">(D31+E31+J31+G31+I31)/B31</f>
        <v>5812.44150943396</v>
      </c>
      <c r="L31" s="9" t="n">
        <f aca="false">(F31+H31)/B31</f>
        <v>0</v>
      </c>
      <c r="M31" s="9" t="n">
        <f aca="false">C31/B31</f>
        <v>5812.44150943396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231731.95</v>
      </c>
      <c r="D32" s="9" t="n">
        <v>161806</v>
      </c>
      <c r="E32" s="9" t="n">
        <v>13500</v>
      </c>
      <c r="F32" s="9"/>
      <c r="G32" s="9" t="n">
        <v>16257.08</v>
      </c>
      <c r="H32" s="9"/>
      <c r="I32" s="9" t="n">
        <v>39268.87</v>
      </c>
      <c r="J32" s="9" t="n">
        <v>900</v>
      </c>
      <c r="K32" s="9" t="n">
        <f aca="false">(D32+E32+J32+G32+I32)/B32</f>
        <v>15981.5137931034</v>
      </c>
      <c r="L32" s="9" t="n">
        <f aca="false">(F32+H32)/B32</f>
        <v>0</v>
      </c>
      <c r="M32" s="9" t="n">
        <f aca="false">C32/B32</f>
        <v>15981.5137931034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" colorId="64" zoomScale="118" zoomScaleNormal="118" zoomScalePageLayoutView="100" workbookViewId="0">
      <pane xSplit="0" ySplit="4" topLeftCell="A8" activePane="bottomLeft" state="frozen"/>
      <selection pane="topLeft" activeCell="A4" activeCellId="0" sqref="A4"/>
      <selection pane="bottom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29" customFormat="true" ht="55.5" hidden="false" customHeight="true" outlineLevel="0" collapsed="false">
      <c r="A2" s="27" t="s">
        <v>13</v>
      </c>
      <c r="B2" s="28" t="n">
        <v>9.64</v>
      </c>
      <c r="C2" s="26" t="n">
        <f aca="false">+D2+E2+F2+G2+H2+I2+J2</f>
        <v>132178.38</v>
      </c>
      <c r="D2" s="26" t="n">
        <v>64143</v>
      </c>
      <c r="E2" s="26" t="n">
        <v>25600</v>
      </c>
      <c r="F2" s="26"/>
      <c r="G2" s="26" t="n">
        <v>25407.08</v>
      </c>
      <c r="H2" s="26" t="n">
        <v>5393</v>
      </c>
      <c r="I2" s="26" t="n">
        <v>11635.3</v>
      </c>
      <c r="J2" s="26"/>
      <c r="K2" s="26" t="n">
        <f aca="false">(D2+E2+J2+G2+I2)/B2</f>
        <v>13152.010373444</v>
      </c>
      <c r="L2" s="26" t="n">
        <f aca="false">(F2+H2)/B2</f>
        <v>559.439834024896</v>
      </c>
      <c r="M2" s="26" t="n">
        <f aca="false">C2/B2</f>
        <v>13711.4502074689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29" customFormat="true" ht="55.5" hidden="false" customHeight="true" outlineLevel="0" collapsed="false">
      <c r="A3" s="27" t="s">
        <v>14</v>
      </c>
      <c r="B3" s="28" t="n">
        <v>8.7</v>
      </c>
      <c r="C3" s="26" t="n">
        <f aca="false">+D3+E3+F3+G3+H3+I3+J3</f>
        <v>72417.36</v>
      </c>
      <c r="D3" s="26" t="n">
        <v>48823</v>
      </c>
      <c r="E3" s="26"/>
      <c r="F3" s="26"/>
      <c r="G3" s="26" t="n">
        <v>13092.09</v>
      </c>
      <c r="H3" s="26" t="n">
        <v>6535</v>
      </c>
      <c r="I3" s="26" t="n">
        <v>3967.27</v>
      </c>
      <c r="J3" s="26"/>
      <c r="K3" s="26" t="n">
        <f aca="false">(D3+E3+J3+G3+I3)/B3</f>
        <v>7572.68505747127</v>
      </c>
      <c r="L3" s="26" t="n">
        <f aca="false">(F3+H3)/B3</f>
        <v>751.149425287356</v>
      </c>
      <c r="M3" s="26" t="n">
        <f aca="false">C3/B3</f>
        <v>8323.83448275862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29" customFormat="true" ht="55.5" hidden="false" customHeight="true" outlineLevel="0" collapsed="false">
      <c r="A4" s="27" t="s">
        <v>15</v>
      </c>
      <c r="B4" s="28" t="n">
        <v>6.4</v>
      </c>
      <c r="C4" s="26" t="n">
        <f aca="false">+D4+E4+F4+G4+H4+I4+J4</f>
        <v>61314.5</v>
      </c>
      <c r="D4" s="26" t="n">
        <v>34159</v>
      </c>
      <c r="E4" s="26"/>
      <c r="F4" s="26"/>
      <c r="G4" s="26" t="n">
        <v>5238.23</v>
      </c>
      <c r="H4" s="26" t="n">
        <v>17950</v>
      </c>
      <c r="I4" s="26" t="n">
        <v>3967.27</v>
      </c>
      <c r="J4" s="26"/>
      <c r="K4" s="26" t="n">
        <f aca="false">(D4+E4+J4+G4+I4)/B4</f>
        <v>6775.703125</v>
      </c>
      <c r="L4" s="26" t="n">
        <f aca="false">(F4+H4)/B4</f>
        <v>2804.6875</v>
      </c>
      <c r="M4" s="26" t="n">
        <f aca="false">C4/B4</f>
        <v>9580.390625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29" customFormat="true" ht="55.5" hidden="false" customHeight="true" outlineLevel="0" collapsed="false">
      <c r="A5" s="27" t="s">
        <v>16</v>
      </c>
      <c r="B5" s="28" t="n">
        <v>14.95</v>
      </c>
      <c r="C5" s="26" t="n">
        <f aca="false">+D5+E5+F5+G5+H5+I5+J5</f>
        <v>311683.77</v>
      </c>
      <c r="D5" s="26" t="n">
        <v>159438</v>
      </c>
      <c r="E5" s="26" t="n">
        <v>49605</v>
      </c>
      <c r="F5" s="26"/>
      <c r="G5" s="26" t="n">
        <v>26127.08</v>
      </c>
      <c r="H5" s="26" t="n">
        <v>37422</v>
      </c>
      <c r="I5" s="26" t="n">
        <v>39091.69</v>
      </c>
      <c r="J5" s="26"/>
      <c r="K5" s="26" t="n">
        <f aca="false">(D5+E5+J5+G5+I5)/B5</f>
        <v>18345.2688963211</v>
      </c>
      <c r="L5" s="26" t="n">
        <f aca="false">(F5+H5)/B5</f>
        <v>2503.14381270903</v>
      </c>
      <c r="M5" s="26" t="n">
        <f aca="false">C5/B5</f>
        <v>20848.4127090301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29" customFormat="true" ht="55.5" hidden="false" customHeight="true" outlineLevel="0" collapsed="false">
      <c r="A6" s="27" t="s">
        <v>17</v>
      </c>
      <c r="B6" s="28" t="n">
        <v>6.5</v>
      </c>
      <c r="C6" s="26" t="n">
        <f aca="false">+D6+E6+F6+G6+H6+I6+J6</f>
        <v>97302.93</v>
      </c>
      <c r="D6" s="26" t="n">
        <v>60649</v>
      </c>
      <c r="E6" s="26" t="n">
        <v>12000</v>
      </c>
      <c r="F6" s="26"/>
      <c r="G6" s="26" t="n">
        <v>14320.52</v>
      </c>
      <c r="H6" s="26" t="n">
        <v>4413</v>
      </c>
      <c r="I6" s="26" t="n">
        <v>5920.41</v>
      </c>
      <c r="J6" s="26"/>
      <c r="K6" s="26" t="n">
        <f aca="false">(D6+E6+J6+G6+I6)/B6</f>
        <v>14290.7584615385</v>
      </c>
      <c r="L6" s="26" t="n">
        <f aca="false">(F6+H6)/B6</f>
        <v>678.923076923077</v>
      </c>
      <c r="M6" s="26" t="n">
        <f aca="false">C6/B6</f>
        <v>14969.6815384615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29" customFormat="true" ht="55.5" hidden="false" customHeight="true" outlineLevel="0" collapsed="false">
      <c r="A7" s="27" t="s">
        <v>18</v>
      </c>
      <c r="B7" s="28" t="n">
        <v>10.71</v>
      </c>
      <c r="C7" s="26" t="n">
        <f aca="false">+D7+E7+F7+G7+H7+I7+J7</f>
        <v>122679.54</v>
      </c>
      <c r="D7" s="26" t="n">
        <v>48125</v>
      </c>
      <c r="E7" s="26" t="n">
        <v>24150</v>
      </c>
      <c r="F7" s="26" t="n">
        <v>6750</v>
      </c>
      <c r="G7" s="26" t="n">
        <v>21231.99</v>
      </c>
      <c r="H7" s="26" t="n">
        <v>9410</v>
      </c>
      <c r="I7" s="26" t="n">
        <v>13012.55</v>
      </c>
      <c r="J7" s="26"/>
      <c r="K7" s="26" t="n">
        <f aca="false">(D7+E7+J7+G7+I7)/B7</f>
        <v>9945.802054155</v>
      </c>
      <c r="L7" s="26" t="n">
        <f aca="false">(F7+H7)/B7</f>
        <v>1508.87021475257</v>
      </c>
      <c r="M7" s="26" t="n">
        <f aca="false">C7/B7</f>
        <v>11454.6722689076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29" customFormat="true" ht="55.5" hidden="false" customHeight="true" outlineLevel="0" collapsed="false">
      <c r="A8" s="27" t="s">
        <v>19</v>
      </c>
      <c r="B8" s="28" t="n">
        <v>7.22</v>
      </c>
      <c r="C8" s="26" t="n">
        <f aca="false">+D8+E8+F8+G8+H8+I8+J8</f>
        <v>126816.78</v>
      </c>
      <c r="D8" s="26" t="n">
        <v>65087</v>
      </c>
      <c r="E8" s="26" t="n">
        <v>20900</v>
      </c>
      <c r="F8" s="26"/>
      <c r="G8" s="26" t="n">
        <v>6750.26</v>
      </c>
      <c r="H8" s="26" t="n">
        <v>18050.6</v>
      </c>
      <c r="I8" s="26" t="n">
        <v>16028.92</v>
      </c>
      <c r="J8" s="26"/>
      <c r="K8" s="26" t="n">
        <f aca="false">(D8+E8+J8+G8+I8)/B8</f>
        <v>15064.567867036</v>
      </c>
      <c r="L8" s="26" t="n">
        <f aca="false">(F8+H8)/B8</f>
        <v>2500.08310249308</v>
      </c>
      <c r="M8" s="26" t="n">
        <f aca="false">C8/B8</f>
        <v>17564.6509695291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29" customFormat="true" ht="55.5" hidden="false" customHeight="true" outlineLevel="0" collapsed="false">
      <c r="A9" s="27" t="s">
        <v>20</v>
      </c>
      <c r="B9" s="28" t="n">
        <v>11.85</v>
      </c>
      <c r="C9" s="26" t="n">
        <f aca="false">+D9+E9+F9+G9+H9+I9+J9</f>
        <v>154922.66</v>
      </c>
      <c r="D9" s="26" t="n">
        <v>56712</v>
      </c>
      <c r="E9" s="26" t="n">
        <v>20472</v>
      </c>
      <c r="F9" s="26"/>
      <c r="G9" s="26" t="n">
        <v>23349.46</v>
      </c>
      <c r="H9" s="26" t="n">
        <v>19305.6</v>
      </c>
      <c r="I9" s="26" t="n">
        <v>35083.6</v>
      </c>
      <c r="J9" s="26"/>
      <c r="K9" s="26" t="n">
        <f aca="false">(D9+E9+J9+G9+I9)/B9</f>
        <v>11444.4776371308</v>
      </c>
      <c r="L9" s="26" t="n">
        <f aca="false">(F9+H9)/B9</f>
        <v>1629.16455696203</v>
      </c>
      <c r="M9" s="26" t="n">
        <f aca="false">C9/B9</f>
        <v>13073.6421940928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29" customFormat="true" ht="55.5" hidden="false" customHeight="true" outlineLevel="0" collapsed="false">
      <c r="A10" s="27" t="s">
        <v>21</v>
      </c>
      <c r="B10" s="28" t="n">
        <v>9.15</v>
      </c>
      <c r="C10" s="26" t="n">
        <f aca="false">+D10+E10+F10+G10+H10+I10+J10</f>
        <v>168959.07</v>
      </c>
      <c r="D10" s="26" t="n">
        <v>98255</v>
      </c>
      <c r="E10" s="26" t="n">
        <v>5760</v>
      </c>
      <c r="F10" s="26"/>
      <c r="G10" s="26" t="n">
        <v>16808.47</v>
      </c>
      <c r="H10" s="26" t="n">
        <v>22919</v>
      </c>
      <c r="I10" s="26" t="n">
        <v>25216.6</v>
      </c>
      <c r="J10" s="26"/>
      <c r="K10" s="26" t="n">
        <f aca="false">(D10+E10+J10+G10+I10)/B10</f>
        <v>15960.6633879781</v>
      </c>
      <c r="L10" s="26" t="n">
        <f aca="false">(F10+H10)/B10</f>
        <v>2504.8087431694</v>
      </c>
      <c r="M10" s="26" t="n">
        <f aca="false">C10/B10</f>
        <v>18465.4721311475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29" customFormat="true" ht="55.5" hidden="false" customHeight="true" outlineLevel="0" collapsed="false">
      <c r="A11" s="30" t="s">
        <v>22</v>
      </c>
      <c r="B11" s="28" t="n">
        <v>7.6</v>
      </c>
      <c r="C11" s="26" t="n">
        <f aca="false">+D11+E11+F11+G11+H11+I11+J11</f>
        <v>108267.98</v>
      </c>
      <c r="D11" s="26" t="n">
        <v>55847</v>
      </c>
      <c r="E11" s="26" t="n">
        <v>12200</v>
      </c>
      <c r="F11" s="26"/>
      <c r="G11" s="26" t="n">
        <v>7762.16</v>
      </c>
      <c r="H11" s="26" t="n">
        <v>16012</v>
      </c>
      <c r="I11" s="26" t="n">
        <v>16446.82</v>
      </c>
      <c r="J11" s="26"/>
      <c r="K11" s="26" t="n">
        <f aca="false">(D11+E11+J11+G11+I11)/B11</f>
        <v>12138.9447368421</v>
      </c>
      <c r="L11" s="26" t="n">
        <f aca="false">(F11+H11)/B11</f>
        <v>2106.84210526316</v>
      </c>
      <c r="M11" s="26" t="n">
        <f aca="false">C11/B11</f>
        <v>14245.7868421053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29" customFormat="true" ht="55.5" hidden="false" customHeight="true" outlineLevel="0" collapsed="false">
      <c r="A12" s="27" t="s">
        <v>23</v>
      </c>
      <c r="B12" s="28" t="n">
        <v>14</v>
      </c>
      <c r="C12" s="26" t="n">
        <f aca="false">+D12+E12+F12+G12+H12+I12+J12</f>
        <v>147048.93</v>
      </c>
      <c r="D12" s="26" t="n">
        <v>68376</v>
      </c>
      <c r="E12" s="26" t="n">
        <v>23257</v>
      </c>
      <c r="F12" s="26"/>
      <c r="G12" s="26" t="n">
        <v>13304.45</v>
      </c>
      <c r="H12" s="26" t="n">
        <v>26869.72</v>
      </c>
      <c r="I12" s="26" t="n">
        <v>15241.76</v>
      </c>
      <c r="J12" s="26"/>
      <c r="K12" s="26" t="n">
        <f aca="false">(D12+E12+J12+G12+I12)/B12</f>
        <v>8584.22928571429</v>
      </c>
      <c r="L12" s="26" t="n">
        <f aca="false">(F12+H12)/B12</f>
        <v>1919.26571428571</v>
      </c>
      <c r="M12" s="26" t="n">
        <f aca="false">C12/B12</f>
        <v>10503.495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29" customFormat="true" ht="55.5" hidden="false" customHeight="true" outlineLevel="0" collapsed="false">
      <c r="A13" s="27" t="s">
        <v>24</v>
      </c>
      <c r="B13" s="28" t="n">
        <v>5.96</v>
      </c>
      <c r="C13" s="26" t="n">
        <f aca="false">+D13+E13+F13+G13+H13+I13+J13</f>
        <v>33195.67</v>
      </c>
      <c r="D13" s="26" t="n">
        <v>20066</v>
      </c>
      <c r="E13" s="26"/>
      <c r="F13" s="26"/>
      <c r="G13" s="26" t="n">
        <v>5500.73</v>
      </c>
      <c r="H13" s="26" t="n">
        <v>4355</v>
      </c>
      <c r="I13" s="26" t="n">
        <v>3273.94</v>
      </c>
      <c r="J13" s="26"/>
      <c r="K13" s="26" t="n">
        <f aca="false">(D13+E13+J13+G13+I13)/B13</f>
        <v>4839.03859060403</v>
      </c>
      <c r="L13" s="26" t="n">
        <f aca="false">(F13+H13)/B13</f>
        <v>730.704697986577</v>
      </c>
      <c r="M13" s="26" t="n">
        <f aca="false">C13/B13</f>
        <v>5569.7432885906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29" customFormat="true" ht="55.5" hidden="false" customHeight="true" outlineLevel="0" collapsed="false">
      <c r="A14" s="30" t="s">
        <v>25</v>
      </c>
      <c r="B14" s="28" t="n">
        <v>4.4</v>
      </c>
      <c r="C14" s="26" t="n">
        <f aca="false">+D14+E14+F14+G14+H14+I14+J14</f>
        <v>88302.21</v>
      </c>
      <c r="D14" s="26" t="n">
        <v>60160</v>
      </c>
      <c r="E14" s="26" t="n">
        <v>14160</v>
      </c>
      <c r="F14" s="26"/>
      <c r="G14" s="26" t="n">
        <v>5700.63</v>
      </c>
      <c r="H14" s="26" t="n">
        <v>2455</v>
      </c>
      <c r="I14" s="26" t="n">
        <v>5826.58</v>
      </c>
      <c r="J14" s="26"/>
      <c r="K14" s="26" t="n">
        <f aca="false">(D14+E14+J14+G14+I14)/B14</f>
        <v>19510.7295454545</v>
      </c>
      <c r="L14" s="26" t="n">
        <f aca="false">(F14+H14)/B14</f>
        <v>557.954545454545</v>
      </c>
      <c r="M14" s="26" t="n">
        <f aca="false">C14/B14</f>
        <v>20068.6840909091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29" customFormat="true" ht="55.5" hidden="false" customHeight="true" outlineLevel="0" collapsed="false">
      <c r="A15" s="30" t="s">
        <v>26</v>
      </c>
      <c r="B15" s="28" t="n">
        <v>5.33</v>
      </c>
      <c r="C15" s="26" t="n">
        <f aca="false">+D15+E15+F15+G15+H15+I15+J15</f>
        <v>95980.35</v>
      </c>
      <c r="D15" s="26" t="n">
        <v>59690</v>
      </c>
      <c r="E15" s="26" t="n">
        <v>15800</v>
      </c>
      <c r="F15" s="26"/>
      <c r="G15" s="26" t="n">
        <v>10892.9</v>
      </c>
      <c r="H15" s="26" t="n">
        <v>4493</v>
      </c>
      <c r="I15" s="26" t="n">
        <v>5104.45</v>
      </c>
      <c r="J15" s="26"/>
      <c r="K15" s="26" t="n">
        <f aca="false">(D15+E15+J15+G15+I15)/B15</f>
        <v>17164.6060037523</v>
      </c>
      <c r="L15" s="26" t="n">
        <f aca="false">(F15+H15)/B15</f>
        <v>842.96435272045</v>
      </c>
      <c r="M15" s="26" t="n">
        <f aca="false">C15/B15</f>
        <v>18007.5703564728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29" customFormat="true" ht="55.5" hidden="false" customHeight="true" outlineLevel="0" collapsed="false">
      <c r="A16" s="30" t="s">
        <v>27</v>
      </c>
      <c r="B16" s="28" t="n">
        <v>10.3</v>
      </c>
      <c r="C16" s="26" t="n">
        <f aca="false">+D16+E16+F16+G16+H16+I16+J16</f>
        <v>286704.18</v>
      </c>
      <c r="D16" s="26" t="n">
        <v>195761</v>
      </c>
      <c r="E16" s="26" t="n">
        <v>35455</v>
      </c>
      <c r="F16" s="26"/>
      <c r="G16" s="26" t="n">
        <v>10756.22</v>
      </c>
      <c r="H16" s="26" t="n">
        <v>7310</v>
      </c>
      <c r="I16" s="26" t="n">
        <v>35416.96</v>
      </c>
      <c r="J16" s="26" t="n">
        <v>2005</v>
      </c>
      <c r="K16" s="26" t="n">
        <f aca="false">(D16+E16+J16+G16+I16)/B16</f>
        <v>27125.6485436893</v>
      </c>
      <c r="L16" s="26" t="n">
        <f aca="false">(F16+H16)/B16</f>
        <v>709.708737864078</v>
      </c>
      <c r="M16" s="26" t="n">
        <f aca="false">C16/B16</f>
        <v>27835.3572815534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29" customFormat="true" ht="55.5" hidden="false" customHeight="true" outlineLevel="0" collapsed="false">
      <c r="A17" s="30" t="s">
        <v>28</v>
      </c>
      <c r="B17" s="28" t="n">
        <v>6</v>
      </c>
      <c r="C17" s="26" t="n">
        <f aca="false">+D17+E17+F17+G17+H17+I17+J17</f>
        <v>67351.95</v>
      </c>
      <c r="D17" s="26" t="n">
        <v>33817</v>
      </c>
      <c r="E17" s="26" t="n">
        <v>6690</v>
      </c>
      <c r="F17" s="26"/>
      <c r="G17" s="26" t="n">
        <v>14528.22</v>
      </c>
      <c r="H17" s="26" t="n">
        <v>9172</v>
      </c>
      <c r="I17" s="26" t="n">
        <v>3144.73</v>
      </c>
      <c r="J17" s="26"/>
      <c r="K17" s="26" t="n">
        <f aca="false">(D17+E17+J17+G17+I17)/B17</f>
        <v>9696.65833333333</v>
      </c>
      <c r="L17" s="26" t="n">
        <f aca="false">(F17+H17)/B17</f>
        <v>1528.66666666667</v>
      </c>
      <c r="M17" s="26" t="n">
        <f aca="false">C17/B17</f>
        <v>11225.325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29" customFormat="true" ht="55.5" hidden="false" customHeight="true" outlineLevel="0" collapsed="false">
      <c r="A18" s="30" t="s">
        <v>29</v>
      </c>
      <c r="B18" s="28" t="n">
        <v>7.8</v>
      </c>
      <c r="C18" s="26" t="n">
        <f aca="false">+D18+E18+F18+G18+H18+I18+J18</f>
        <v>173010.09</v>
      </c>
      <c r="D18" s="26" t="n">
        <v>100443</v>
      </c>
      <c r="E18" s="26" t="n">
        <v>30659</v>
      </c>
      <c r="F18" s="26"/>
      <c r="G18" s="26" t="n">
        <v>15127.02</v>
      </c>
      <c r="H18" s="26" t="n">
        <v>12702</v>
      </c>
      <c r="I18" s="26" t="n">
        <v>14079.07</v>
      </c>
      <c r="J18" s="26"/>
      <c r="K18" s="26" t="n">
        <f aca="false">(D18+E18+J18+G18+I18)/B18</f>
        <v>20552.3192307692</v>
      </c>
      <c r="L18" s="26" t="n">
        <f aca="false">(F18+H18)/B18</f>
        <v>1628.46153846154</v>
      </c>
      <c r="M18" s="26" t="n">
        <f aca="false">C18/B18</f>
        <v>22180.7807692308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29" customFormat="true" ht="55.5" hidden="false" customHeight="true" outlineLevel="0" collapsed="false">
      <c r="A19" s="30" t="s">
        <v>30</v>
      </c>
      <c r="B19" s="28" t="n">
        <v>6</v>
      </c>
      <c r="C19" s="26" t="n">
        <f aca="false">+D19+E19+F19+G19+H19+I19+J19</f>
        <v>81820.04</v>
      </c>
      <c r="D19" s="26" t="n">
        <v>61440</v>
      </c>
      <c r="E19" s="26" t="n">
        <v>5100</v>
      </c>
      <c r="F19" s="26"/>
      <c r="G19" s="26" t="n">
        <v>10243.1</v>
      </c>
      <c r="H19" s="26" t="n">
        <v>6835</v>
      </c>
      <c r="I19" s="26" t="n">
        <v>-1798.06</v>
      </c>
      <c r="J19" s="26"/>
      <c r="K19" s="26" t="n">
        <f aca="false">(D19+E19+J19+G19+I19)/B19</f>
        <v>12497.5066666667</v>
      </c>
      <c r="L19" s="26" t="n">
        <f aca="false">(F19+H19)/B19</f>
        <v>1139.16666666667</v>
      </c>
      <c r="M19" s="26" t="n">
        <f aca="false">C19/B19</f>
        <v>13636.6733333333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29" customFormat="true" ht="55.5" hidden="false" customHeight="true" outlineLevel="0" collapsed="false">
      <c r="A20" s="30" t="s">
        <v>31</v>
      </c>
      <c r="B20" s="28" t="n">
        <v>5.6</v>
      </c>
      <c r="C20" s="26" t="n">
        <f aca="false">+D20+E20+F20+G20+H20+I20+J20</f>
        <v>94940.49</v>
      </c>
      <c r="D20" s="26" t="n">
        <v>41842</v>
      </c>
      <c r="E20" s="26" t="n">
        <v>17450</v>
      </c>
      <c r="F20" s="26"/>
      <c r="G20" s="26" t="n">
        <v>16239.32</v>
      </c>
      <c r="H20" s="26" t="n">
        <v>4311</v>
      </c>
      <c r="I20" s="26" t="n">
        <v>15098.17</v>
      </c>
      <c r="J20" s="26"/>
      <c r="K20" s="26" t="n">
        <f aca="false">(D20+E20+J20+G20+I20)/B20</f>
        <v>16183.8375</v>
      </c>
      <c r="L20" s="26" t="n">
        <f aca="false">(F20+H20)/B20</f>
        <v>769.821428571429</v>
      </c>
      <c r="M20" s="26" t="n">
        <f aca="false">C20/B20</f>
        <v>16953.6589285714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29" customFormat="true" ht="55.5" hidden="false" customHeight="true" outlineLevel="0" collapsed="false">
      <c r="A21" s="30" t="s">
        <v>32</v>
      </c>
      <c r="B21" s="28" t="n">
        <v>7.4</v>
      </c>
      <c r="C21" s="26" t="n">
        <f aca="false">+D21+E21+F21+G21+H21+I21+J21</f>
        <v>119833.5</v>
      </c>
      <c r="D21" s="26" t="n">
        <v>70820</v>
      </c>
      <c r="E21" s="26" t="n">
        <v>15272</v>
      </c>
      <c r="F21" s="26"/>
      <c r="G21" s="26" t="n">
        <v>16610.59</v>
      </c>
      <c r="H21" s="26" t="n">
        <v>2234</v>
      </c>
      <c r="I21" s="26" t="n">
        <v>14896.91</v>
      </c>
      <c r="J21" s="26"/>
      <c r="K21" s="26" t="n">
        <f aca="false">(D21+E21+J21+G21+I21)/B21</f>
        <v>15891.8243243243</v>
      </c>
      <c r="L21" s="26" t="n">
        <f aca="false">(F21+H21)/B21</f>
        <v>301.891891891892</v>
      </c>
      <c r="M21" s="26" t="n">
        <f aca="false">C21/B21</f>
        <v>16193.7162162162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29" customFormat="true" ht="55.5" hidden="false" customHeight="true" outlineLevel="0" collapsed="false">
      <c r="A22" s="30" t="s">
        <v>33</v>
      </c>
      <c r="B22" s="28" t="n">
        <v>8.23</v>
      </c>
      <c r="C22" s="26" t="n">
        <f aca="false">+D22+E22+F22+G22+H22+I22+J22</f>
        <v>115086.07</v>
      </c>
      <c r="D22" s="26" t="n">
        <v>64753</v>
      </c>
      <c r="E22" s="26" t="n">
        <v>13150</v>
      </c>
      <c r="F22" s="26"/>
      <c r="G22" s="26" t="n">
        <v>16310.25</v>
      </c>
      <c r="H22" s="26" t="n">
        <v>4577</v>
      </c>
      <c r="I22" s="26" t="n">
        <v>16295.82</v>
      </c>
      <c r="J22" s="26"/>
      <c r="K22" s="26" t="n">
        <f aca="false">(D22+E22+J22+G22+I22)/B22</f>
        <v>13427.5905224787</v>
      </c>
      <c r="L22" s="26" t="n">
        <f aca="false">(F22+H22)/B22</f>
        <v>556.136087484812</v>
      </c>
      <c r="M22" s="26" t="n">
        <f aca="false">C22/B22</f>
        <v>13983.7266099635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29" customFormat="true" ht="55.5" hidden="false" customHeight="true" outlineLevel="0" collapsed="false">
      <c r="A23" s="30" t="s">
        <v>34</v>
      </c>
      <c r="B23" s="28" t="n">
        <v>4</v>
      </c>
      <c r="C23" s="26" t="n">
        <f aca="false">+D23+E23+F23+G23+H23+I23+J23</f>
        <v>55060.92</v>
      </c>
      <c r="D23" s="26" t="n">
        <v>30140</v>
      </c>
      <c r="E23" s="26" t="n">
        <v>4225</v>
      </c>
      <c r="F23" s="26"/>
      <c r="G23" s="26" t="n">
        <v>3238.86</v>
      </c>
      <c r="H23" s="26" t="n">
        <v>17035</v>
      </c>
      <c r="I23" s="26" t="n">
        <v>422.06</v>
      </c>
      <c r="J23" s="26"/>
      <c r="K23" s="26" t="n">
        <f aca="false">(D23+E23+J23+G23+I23)/B23</f>
        <v>9506.48</v>
      </c>
      <c r="L23" s="26" t="n">
        <f aca="false">(F23+H23)/B23</f>
        <v>4258.75</v>
      </c>
      <c r="M23" s="26" t="n">
        <f aca="false">C23/B23</f>
        <v>13765.23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29" customFormat="true" ht="55.5" hidden="false" customHeight="true" outlineLevel="0" collapsed="false">
      <c r="A24" s="30" t="s">
        <v>35</v>
      </c>
      <c r="B24" s="28" t="n">
        <v>20</v>
      </c>
      <c r="C24" s="26" t="n">
        <f aca="false">+D24+E24+F24+G24+H24+I24+J24</f>
        <v>319932.66</v>
      </c>
      <c r="D24" s="26" t="n">
        <v>191530</v>
      </c>
      <c r="E24" s="26" t="n">
        <v>45895</v>
      </c>
      <c r="F24" s="31" t="n">
        <v>35000</v>
      </c>
      <c r="G24" s="26" t="n">
        <v>28641.52</v>
      </c>
      <c r="H24" s="26" t="n">
        <v>7196</v>
      </c>
      <c r="I24" s="26" t="n">
        <v>11670.14</v>
      </c>
      <c r="J24" s="26"/>
      <c r="K24" s="26" t="n">
        <f aca="false">(D24+E24+J24+G24+I24)/B24</f>
        <v>13886.833</v>
      </c>
      <c r="L24" s="26" t="n">
        <f aca="false">(F24+H24)/B24</f>
        <v>2109.8</v>
      </c>
      <c r="M24" s="26" t="n">
        <f aca="false">C24/B24</f>
        <v>15996.633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29" customFormat="true" ht="55.5" hidden="false" customHeight="true" outlineLevel="0" collapsed="false">
      <c r="A25" s="30" t="s">
        <v>36</v>
      </c>
      <c r="B25" s="32" t="n">
        <v>10.85</v>
      </c>
      <c r="C25" s="26" t="n">
        <f aca="false">+D25+E25+F25+G25+H25+I25+J25</f>
        <v>140614.67</v>
      </c>
      <c r="D25" s="26" t="n">
        <v>62427</v>
      </c>
      <c r="E25" s="26" t="n">
        <v>25685</v>
      </c>
      <c r="F25" s="26"/>
      <c r="G25" s="26" t="n">
        <v>24828.67</v>
      </c>
      <c r="H25" s="26" t="n">
        <v>9930</v>
      </c>
      <c r="I25" s="26" t="n">
        <v>17744</v>
      </c>
      <c r="J25" s="26"/>
      <c r="K25" s="26" t="n">
        <f aca="false">(D25+E25+J25+G25+I25)/B25</f>
        <v>12044.6700460829</v>
      </c>
      <c r="L25" s="26" t="n">
        <f aca="false">(F25+H25)/B25</f>
        <v>915.207373271889</v>
      </c>
      <c r="M25" s="26" t="n">
        <f aca="false">C25/B25</f>
        <v>12959.8774193548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29" customFormat="true" ht="55.5" hidden="false" customHeight="true" outlineLevel="0" collapsed="false">
      <c r="A26" s="30" t="s">
        <v>37</v>
      </c>
      <c r="B26" s="32" t="n">
        <v>4</v>
      </c>
      <c r="C26" s="26" t="n">
        <f aca="false">+D26+E26+F26+G26+H26+I26+J26</f>
        <v>33019.48</v>
      </c>
      <c r="D26" s="26" t="n">
        <v>13453</v>
      </c>
      <c r="E26" s="26" t="n">
        <v>5590</v>
      </c>
      <c r="F26" s="26"/>
      <c r="G26" s="26" t="n">
        <v>6474.69</v>
      </c>
      <c r="H26" s="26" t="n">
        <v>2750</v>
      </c>
      <c r="I26" s="26" t="n">
        <v>4751.79</v>
      </c>
      <c r="J26" s="26"/>
      <c r="K26" s="26" t="n">
        <f aca="false">(D26+E26+J26+G26+I26)/B26</f>
        <v>7567.37</v>
      </c>
      <c r="L26" s="26" t="n">
        <f aca="false">(F26+H26)/B26</f>
        <v>687.5</v>
      </c>
      <c r="M26" s="26" t="n">
        <f aca="false">C26/B26</f>
        <v>8254.87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29" customFormat="true" ht="55.5" hidden="false" customHeight="true" outlineLevel="0" collapsed="false">
      <c r="A27" s="30" t="s">
        <v>38</v>
      </c>
      <c r="B27" s="32" t="n">
        <v>5.55</v>
      </c>
      <c r="C27" s="26" t="n">
        <f aca="false">+D27+E27+F27+G27+H27+I27+J27</f>
        <v>68056.08</v>
      </c>
      <c r="D27" s="26" t="n">
        <v>28344</v>
      </c>
      <c r="E27" s="26" t="n">
        <v>4900</v>
      </c>
      <c r="F27" s="26"/>
      <c r="G27" s="26" t="n">
        <v>5064.59</v>
      </c>
      <c r="H27" s="26" t="n">
        <v>22250.12</v>
      </c>
      <c r="I27" s="26" t="n">
        <v>7497.37</v>
      </c>
      <c r="J27" s="26"/>
      <c r="K27" s="26" t="n">
        <f aca="false">(D27+E27+J27+G27+I27)/B27</f>
        <v>8253.32612612613</v>
      </c>
      <c r="L27" s="26" t="n">
        <f aca="false">(F27+H27)/B27</f>
        <v>4009.03063063063</v>
      </c>
      <c r="M27" s="26" t="n">
        <f aca="false">C27/B27</f>
        <v>12262.3567567568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29" customFormat="true" ht="55.5" hidden="false" customHeight="true" outlineLevel="0" collapsed="false">
      <c r="A28" s="30" t="s">
        <v>39</v>
      </c>
      <c r="B28" s="32" t="n">
        <v>6.02</v>
      </c>
      <c r="C28" s="26" t="n">
        <f aca="false">+D28+E28+F28+G28+H28+I28+J28</f>
        <v>76227.03</v>
      </c>
      <c r="D28" s="26" t="n">
        <v>62512</v>
      </c>
      <c r="E28" s="26"/>
      <c r="F28" s="26"/>
      <c r="G28" s="26" t="n">
        <v>5234.36</v>
      </c>
      <c r="H28" s="26" t="n">
        <v>2850</v>
      </c>
      <c r="I28" s="26" t="n">
        <v>5630.67</v>
      </c>
      <c r="J28" s="26"/>
      <c r="K28" s="26" t="n">
        <f aca="false">(D28+E28+J28+G28+I28)/B28</f>
        <v>12188.8754152824</v>
      </c>
      <c r="L28" s="26" t="n">
        <f aca="false">(F28+H28)/B28</f>
        <v>473.421926910299</v>
      </c>
      <c r="M28" s="26" t="n">
        <f aca="false">C28/B28</f>
        <v>12662.2973421927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29" customFormat="true" ht="55.5" hidden="false" customHeight="true" outlineLevel="0" collapsed="false">
      <c r="A29" s="30" t="s">
        <v>40</v>
      </c>
      <c r="B29" s="28" t="n">
        <v>11.5</v>
      </c>
      <c r="C29" s="26" t="n">
        <f aca="false">+D29+E29+F29+G29+H29+I29+J29</f>
        <v>109871.24</v>
      </c>
      <c r="D29" s="26" t="n">
        <v>73651</v>
      </c>
      <c r="E29" s="26"/>
      <c r="F29" s="26"/>
      <c r="G29" s="26" t="n">
        <v>11028.18</v>
      </c>
      <c r="H29" s="26" t="n">
        <v>3206</v>
      </c>
      <c r="I29" s="26" t="n">
        <v>19211.06</v>
      </c>
      <c r="J29" s="26" t="n">
        <v>2775</v>
      </c>
      <c r="K29" s="26" t="n">
        <f aca="false">(D29+E29+J29+G29+I29)/B29</f>
        <v>9275.23826086956</v>
      </c>
      <c r="L29" s="26" t="n">
        <f aca="false">(F29+H29)/B29</f>
        <v>278.782608695652</v>
      </c>
      <c r="M29" s="26" t="n">
        <f aca="false">C29/B29</f>
        <v>9554.02086956522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29" customFormat="true" ht="55.5" hidden="false" customHeight="true" outlineLevel="0" collapsed="false">
      <c r="A30" s="30" t="s">
        <v>41</v>
      </c>
      <c r="B30" s="28" t="n">
        <v>6.2</v>
      </c>
      <c r="C30" s="26" t="n">
        <f aca="false">+D30+E30+F30+G30+H30+I30+J30</f>
        <v>61689.43</v>
      </c>
      <c r="D30" s="26" t="n">
        <v>32782</v>
      </c>
      <c r="E30" s="26" t="n">
        <v>6050</v>
      </c>
      <c r="F30" s="26"/>
      <c r="G30" s="26" t="n">
        <v>9602.45</v>
      </c>
      <c r="H30" s="26" t="n">
        <v>1290</v>
      </c>
      <c r="I30" s="26" t="n">
        <v>11964.98</v>
      </c>
      <c r="J30" s="26"/>
      <c r="K30" s="26" t="n">
        <f aca="false">(D30+E30+J30+G30+I30)/B30</f>
        <v>9741.8435483871</v>
      </c>
      <c r="L30" s="26" t="n">
        <f aca="false">(F30+H30)/B30</f>
        <v>208.064516129032</v>
      </c>
      <c r="M30" s="26" t="n">
        <f aca="false">C30/B30</f>
        <v>9949.90806451613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29" customFormat="true" ht="55.5" hidden="false" customHeight="true" outlineLevel="0" collapsed="false">
      <c r="A31" s="30" t="s">
        <v>42</v>
      </c>
      <c r="B31" s="28" t="n">
        <v>5.3</v>
      </c>
      <c r="C31" s="26" t="n">
        <f aca="false">+D31+E31+F31+G31+H31+I31+J31</f>
        <v>31908.74</v>
      </c>
      <c r="D31" s="26" t="n">
        <v>12385</v>
      </c>
      <c r="E31" s="26" t="n">
        <v>5066</v>
      </c>
      <c r="F31" s="26"/>
      <c r="G31" s="26" t="n">
        <v>10200.07</v>
      </c>
      <c r="H31" s="26" t="n">
        <v>2782</v>
      </c>
      <c r="I31" s="26" t="n">
        <v>1475.67</v>
      </c>
      <c r="J31" s="26"/>
      <c r="K31" s="26" t="n">
        <f aca="false">(D31+E31+J31+G31+I31)/B31</f>
        <v>5495.61132075472</v>
      </c>
      <c r="L31" s="26" t="n">
        <f aca="false">(F31+H31)/B31</f>
        <v>524.905660377359</v>
      </c>
      <c r="M31" s="26" t="n">
        <f aca="false">C31/B31</f>
        <v>6020.51698113208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29" customFormat="true" ht="55.5" hidden="false" customHeight="true" outlineLevel="0" collapsed="false">
      <c r="A32" s="30" t="s">
        <v>43</v>
      </c>
      <c r="B32" s="28" t="n">
        <v>14.5</v>
      </c>
      <c r="C32" s="26" t="n">
        <f aca="false">+D32+E32+F32+G32+H32+I32+J32</f>
        <v>177731.17</v>
      </c>
      <c r="D32" s="26" t="n">
        <v>121078</v>
      </c>
      <c r="E32" s="26" t="n">
        <v>13500</v>
      </c>
      <c r="F32" s="26"/>
      <c r="G32" s="26" t="n">
        <v>12603.34</v>
      </c>
      <c r="H32" s="26" t="n">
        <v>13100</v>
      </c>
      <c r="I32" s="26" t="n">
        <v>17449.83</v>
      </c>
      <c r="J32" s="26"/>
      <c r="K32" s="26" t="n">
        <f aca="false">(D32+E32+J32+G32+I32)/B32</f>
        <v>11353.8737931034</v>
      </c>
      <c r="L32" s="26" t="n">
        <f aca="false">(F32+H32)/B32</f>
        <v>903.448275862069</v>
      </c>
      <c r="M32" s="26" t="n">
        <f aca="false">C32/B32</f>
        <v>12257.3220689655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0" colorId="64" zoomScale="118" zoomScaleNormal="118" zoomScalePageLayoutView="100" workbookViewId="0">
      <selection pane="top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425464.43</v>
      </c>
      <c r="D2" s="9" t="n">
        <v>81431</v>
      </c>
      <c r="E2" s="9" t="n">
        <v>25600</v>
      </c>
      <c r="F2" s="9" t="n">
        <v>180280</v>
      </c>
      <c r="G2" s="9" t="n">
        <v>28657.56</v>
      </c>
      <c r="H2" s="9" t="n">
        <v>95144</v>
      </c>
      <c r="I2" s="9" t="n">
        <v>14351.87</v>
      </c>
      <c r="J2" s="9"/>
      <c r="K2" s="9" t="n">
        <f aca="false">(D2+E2+J2+G2+I2)/B2</f>
        <v>15564.3599585062</v>
      </c>
      <c r="L2" s="9" t="n">
        <f aca="false">(F2+H2)/B2</f>
        <v>28570.9543568465</v>
      </c>
      <c r="M2" s="9" t="n">
        <f aca="false">C2/B2</f>
        <v>44135.3143153527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115125.65</v>
      </c>
      <c r="D3" s="9" t="n">
        <v>55421</v>
      </c>
      <c r="E3" s="9" t="n">
        <v>5800</v>
      </c>
      <c r="F3" s="9" t="n">
        <v>27900</v>
      </c>
      <c r="G3" s="9" t="n">
        <v>17892.67</v>
      </c>
      <c r="H3" s="9" t="n">
        <v>4373</v>
      </c>
      <c r="I3" s="9" t="n">
        <v>3738.98</v>
      </c>
      <c r="J3" s="9"/>
      <c r="K3" s="9" t="n">
        <f aca="false">(D3+E3+J3+G3+I3)/B3</f>
        <v>9523.29310344828</v>
      </c>
      <c r="L3" s="9" t="n">
        <f aca="false">(F3+H3)/B3</f>
        <v>3709.54022988506</v>
      </c>
      <c r="M3" s="9" t="n">
        <f aca="false">C3/B3</f>
        <v>13232.8333333333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51353.93</v>
      </c>
      <c r="D4" s="9" t="n">
        <v>44825</v>
      </c>
      <c r="E4" s="9"/>
      <c r="F4" s="9"/>
      <c r="G4" s="9" t="n">
        <v>2184.95</v>
      </c>
      <c r="H4" s="9" t="n">
        <v>605</v>
      </c>
      <c r="I4" s="9" t="n">
        <v>3738.98</v>
      </c>
      <c r="J4" s="9"/>
      <c r="K4" s="9" t="n">
        <f aca="false">(D4+E4+J4+G4+I4)/B4</f>
        <v>7929.5203125</v>
      </c>
      <c r="L4" s="9" t="n">
        <f aca="false">(F4+H4)/B4</f>
        <v>94.53125</v>
      </c>
      <c r="M4" s="9" t="n">
        <f aca="false">C4/B4</f>
        <v>8024.0515625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324279.12</v>
      </c>
      <c r="D5" s="9" t="n">
        <v>193872</v>
      </c>
      <c r="E5" s="9" t="n">
        <v>51250</v>
      </c>
      <c r="F5" s="9"/>
      <c r="G5" s="9" t="n">
        <v>26472.46</v>
      </c>
      <c r="H5" s="9" t="n">
        <v>11206</v>
      </c>
      <c r="I5" s="9" t="n">
        <v>41478.66</v>
      </c>
      <c r="J5" s="9"/>
      <c r="K5" s="9" t="n">
        <f aca="false">(D5+E5+J5+G5+I5)/B5</f>
        <v>20941.345819398</v>
      </c>
      <c r="L5" s="9" t="n">
        <f aca="false">(F5+H5)/B5</f>
        <v>749.565217391304</v>
      </c>
      <c r="M5" s="9" t="n">
        <f aca="false">C5/B5</f>
        <v>21690.9110367893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108672.63</v>
      </c>
      <c r="D6" s="9" t="n">
        <v>62066</v>
      </c>
      <c r="E6" s="9" t="n">
        <v>15750</v>
      </c>
      <c r="F6" s="9"/>
      <c r="G6" s="9" t="n">
        <v>15570.61</v>
      </c>
      <c r="H6" s="9" t="n">
        <v>4002</v>
      </c>
      <c r="I6" s="9" t="n">
        <v>11284.02</v>
      </c>
      <c r="J6" s="9"/>
      <c r="K6" s="9" t="n">
        <f aca="false">(D6+E6+J6+G6+I6)/B6</f>
        <v>16103.1738461538</v>
      </c>
      <c r="L6" s="9" t="n">
        <f aca="false">(F6+H6)/B6</f>
        <v>615.692307692308</v>
      </c>
      <c r="M6" s="9" t="n">
        <f aca="false">C6/B6</f>
        <v>16718.8661538462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119779.21</v>
      </c>
      <c r="D7" s="9" t="n">
        <v>54172</v>
      </c>
      <c r="E7" s="9" t="n">
        <v>25700</v>
      </c>
      <c r="F7" s="9"/>
      <c r="G7" s="9" t="n">
        <v>21231.5</v>
      </c>
      <c r="H7" s="9" t="n">
        <v>4071</v>
      </c>
      <c r="I7" s="9" t="n">
        <v>14604.71</v>
      </c>
      <c r="J7" s="9"/>
      <c r="K7" s="9" t="n">
        <f aca="false">(D7+E7+J7+G7+I7)/B7</f>
        <v>10803.7544351074</v>
      </c>
      <c r="L7" s="9" t="n">
        <f aca="false">(F7+H7)/B7</f>
        <v>380.112044817927</v>
      </c>
      <c r="M7" s="9" t="n">
        <f aca="false">C7/B7</f>
        <v>11183.8664799253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111442.4</v>
      </c>
      <c r="D8" s="9" t="n">
        <v>69355</v>
      </c>
      <c r="E8" s="9" t="n">
        <v>22350</v>
      </c>
      <c r="F8" s="9"/>
      <c r="G8" s="9" t="n">
        <v>5503.04</v>
      </c>
      <c r="H8" s="9" t="n">
        <v>2318</v>
      </c>
      <c r="I8" s="9" t="n">
        <v>11916.36</v>
      </c>
      <c r="J8" s="9"/>
      <c r="K8" s="9" t="n">
        <f aca="false">(D8+E8+J8+G8+I8)/B8</f>
        <v>15114.1828254848</v>
      </c>
      <c r="L8" s="9" t="n">
        <f aca="false">(F8+H8)/B8</f>
        <v>321.052631578947</v>
      </c>
      <c r="M8" s="9" t="n">
        <f aca="false">C8/B8</f>
        <v>15435.2354570637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138860.47</v>
      </c>
      <c r="D9" s="9" t="n">
        <v>59071</v>
      </c>
      <c r="E9" s="9" t="n">
        <v>20270</v>
      </c>
      <c r="F9" s="9"/>
      <c r="G9" s="9" t="n">
        <v>28838.56</v>
      </c>
      <c r="H9" s="9" t="n">
        <v>4774</v>
      </c>
      <c r="I9" s="9" t="n">
        <v>25906.91</v>
      </c>
      <c r="J9" s="9"/>
      <c r="K9" s="9" t="n">
        <f aca="false">(D9+E9+J9+G9+I9)/B9</f>
        <v>17081.0789808917</v>
      </c>
      <c r="L9" s="9" t="n">
        <f aca="false">(F9+H9)/B9</f>
        <v>608.152866242038</v>
      </c>
      <c r="M9" s="9" t="n">
        <f aca="false">C9/B9</f>
        <v>17689.2318471338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146462.38</v>
      </c>
      <c r="D10" s="9" t="n">
        <v>95263</v>
      </c>
      <c r="E10" s="9" t="n">
        <v>11250</v>
      </c>
      <c r="F10" s="9"/>
      <c r="G10" s="9" t="n">
        <v>14806.51</v>
      </c>
      <c r="H10" s="9" t="n">
        <v>3843</v>
      </c>
      <c r="I10" s="9" t="n">
        <v>21299.87</v>
      </c>
      <c r="J10" s="9"/>
      <c r="K10" s="9" t="n">
        <f aca="false">(D10+E10+J10+G10+I10)/B10</f>
        <v>15586.8174863388</v>
      </c>
      <c r="L10" s="9" t="n">
        <f aca="false">(F10+H10)/B10</f>
        <v>420</v>
      </c>
      <c r="M10" s="9" t="n">
        <f aca="false">C10/B10</f>
        <v>16006.8174863388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106527.29</v>
      </c>
      <c r="D11" s="9" t="n">
        <v>67782</v>
      </c>
      <c r="E11" s="9" t="n">
        <v>13400</v>
      </c>
      <c r="F11" s="9"/>
      <c r="G11" s="9" t="n">
        <v>4261.35</v>
      </c>
      <c r="H11" s="9" t="n">
        <v>6758</v>
      </c>
      <c r="I11" s="9" t="n">
        <v>14325.94</v>
      </c>
      <c r="J11" s="9"/>
      <c r="K11" s="9" t="n">
        <f aca="false">(D11+E11+J11+G11+I11)/B11</f>
        <v>13127.5381578947</v>
      </c>
      <c r="L11" s="9" t="n">
        <f aca="false">(F11+H11)/B11</f>
        <v>889.21052631579</v>
      </c>
      <c r="M11" s="9" t="n">
        <f aca="false">C11/B11</f>
        <v>14016.7486842105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136008.94</v>
      </c>
      <c r="D12" s="9" t="n">
        <v>77626</v>
      </c>
      <c r="E12" s="9" t="n">
        <v>18750</v>
      </c>
      <c r="F12" s="9"/>
      <c r="G12" s="9" t="n">
        <v>13553.97</v>
      </c>
      <c r="H12" s="9" t="n">
        <v>14028</v>
      </c>
      <c r="I12" s="9" t="n">
        <v>12050.97</v>
      </c>
      <c r="J12" s="9"/>
      <c r="K12" s="9" t="n">
        <f aca="false">(D12+E12+J12+G12+I12)/B12</f>
        <v>8712.92428571429</v>
      </c>
      <c r="L12" s="9" t="n">
        <f aca="false">(F12+H12)/B12</f>
        <v>1002</v>
      </c>
      <c r="M12" s="9" t="n">
        <f aca="false">C12/B12</f>
        <v>9714.92428571429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36471.59</v>
      </c>
      <c r="D13" s="9" t="n">
        <v>31848</v>
      </c>
      <c r="E13" s="9"/>
      <c r="F13" s="9"/>
      <c r="G13" s="9" t="n">
        <v>-1000.72</v>
      </c>
      <c r="H13" s="9" t="n">
        <v>2496</v>
      </c>
      <c r="I13" s="9" t="n">
        <v>3128.31</v>
      </c>
      <c r="J13" s="9"/>
      <c r="K13" s="9" t="n">
        <f aca="false">(D13+E13+J13+G13+I13)/B13</f>
        <v>5700.60234899329</v>
      </c>
      <c r="L13" s="9" t="n">
        <f aca="false">(F13+H13)/B13</f>
        <v>418.791946308725</v>
      </c>
      <c r="M13" s="9" t="n">
        <f aca="false">C13/B13</f>
        <v>6119.39429530201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90440.51</v>
      </c>
      <c r="D14" s="9" t="n">
        <v>64379</v>
      </c>
      <c r="E14" s="9" t="n">
        <v>13700</v>
      </c>
      <c r="F14" s="9"/>
      <c r="G14" s="9" t="n">
        <v>5483.59</v>
      </c>
      <c r="H14" s="9" t="n">
        <v>1575</v>
      </c>
      <c r="I14" s="9" t="n">
        <v>5302.92</v>
      </c>
      <c r="J14" s="9"/>
      <c r="K14" s="9" t="n">
        <f aca="false">(D14+E14+J14+G14+I14)/B14</f>
        <v>20196.7068181818</v>
      </c>
      <c r="L14" s="9" t="n">
        <f aca="false">(F14+H14)/B14</f>
        <v>357.954545454545</v>
      </c>
      <c r="M14" s="9" t="n">
        <f aca="false">C14/B14</f>
        <v>20554.6613636364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103658.45</v>
      </c>
      <c r="D15" s="9" t="n">
        <v>61295</v>
      </c>
      <c r="E15" s="9" t="n">
        <v>15489</v>
      </c>
      <c r="F15" s="9"/>
      <c r="G15" s="9" t="n">
        <v>12459.72</v>
      </c>
      <c r="H15" s="9" t="n">
        <v>6048</v>
      </c>
      <c r="I15" s="9" t="n">
        <v>8366.73</v>
      </c>
      <c r="J15" s="9"/>
      <c r="K15" s="9" t="n">
        <f aca="false">(D15+E15+J15+G15+I15)/B15</f>
        <v>18313.4052532833</v>
      </c>
      <c r="L15" s="9" t="n">
        <f aca="false">(F15+H15)/B15</f>
        <v>1134.70919324578</v>
      </c>
      <c r="M15" s="9" t="n">
        <f aca="false">C15/B15</f>
        <v>19448.1144465291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267978.16</v>
      </c>
      <c r="D16" s="9" t="n">
        <v>184885</v>
      </c>
      <c r="E16" s="9" t="n">
        <v>35345</v>
      </c>
      <c r="F16" s="9"/>
      <c r="G16" s="9" t="n">
        <v>11504.9</v>
      </c>
      <c r="H16" s="9" t="n">
        <v>5125</v>
      </c>
      <c r="I16" s="9" t="n">
        <v>31118.26</v>
      </c>
      <c r="J16" s="9"/>
      <c r="K16" s="9" t="n">
        <f aca="false">(D16+E16+J16+G16+I16)/B16</f>
        <v>25519.7242718447</v>
      </c>
      <c r="L16" s="9" t="n">
        <f aca="false">(F16+H16)/B16</f>
        <v>497.572815533981</v>
      </c>
      <c r="M16" s="9" t="n">
        <f aca="false">C16/B16</f>
        <v>26017.2970873786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68313.36</v>
      </c>
      <c r="D17" s="9" t="n">
        <v>29881</v>
      </c>
      <c r="E17" s="9" t="n">
        <v>10200</v>
      </c>
      <c r="F17" s="9"/>
      <c r="G17" s="9" t="n">
        <v>15348.61</v>
      </c>
      <c r="H17" s="9" t="n">
        <v>4442</v>
      </c>
      <c r="I17" s="9" t="n">
        <v>8441.75</v>
      </c>
      <c r="J17" s="9"/>
      <c r="K17" s="9" t="n">
        <f aca="false">(D17+E17+J17+G17+I17)/B17</f>
        <v>10645.2266666667</v>
      </c>
      <c r="L17" s="9" t="n">
        <f aca="false">(F17+H17)/B17</f>
        <v>740.333333333333</v>
      </c>
      <c r="M17" s="9" t="n">
        <f aca="false">C17/B17</f>
        <v>11385.56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256453.08</v>
      </c>
      <c r="D18" s="9" t="n">
        <v>90657</v>
      </c>
      <c r="E18" s="9" t="n">
        <v>31885</v>
      </c>
      <c r="F18" s="9" t="n">
        <v>92736</v>
      </c>
      <c r="G18" s="9" t="n">
        <v>17059.41</v>
      </c>
      <c r="H18" s="9" t="n">
        <v>10434</v>
      </c>
      <c r="I18" s="9" t="n">
        <v>13681.67</v>
      </c>
      <c r="J18" s="9"/>
      <c r="K18" s="9" t="n">
        <f aca="false">(D18+E18+J18+G18+I18)/B18</f>
        <v>19651.6769230769</v>
      </c>
      <c r="L18" s="9" t="n">
        <f aca="false">(F18+H18)/B18</f>
        <v>13226.9230769231</v>
      </c>
      <c r="M18" s="9" t="n">
        <f aca="false">C18/B18</f>
        <v>32878.6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102582.5</v>
      </c>
      <c r="D19" s="9" t="n">
        <v>50666</v>
      </c>
      <c r="E19" s="9" t="n">
        <v>16666</v>
      </c>
      <c r="F19" s="9" t="n">
        <v>11400</v>
      </c>
      <c r="G19" s="9" t="n">
        <v>9863.64</v>
      </c>
      <c r="H19" s="9" t="n">
        <v>6128</v>
      </c>
      <c r="I19" s="9" t="n">
        <v>7858.86</v>
      </c>
      <c r="J19" s="9"/>
      <c r="K19" s="9" t="n">
        <f aca="false">(D19+E19+J19+G19+I19)/B19</f>
        <v>14175.75</v>
      </c>
      <c r="L19" s="9" t="n">
        <f aca="false">(F19+H19)/B19</f>
        <v>2921.33333333333</v>
      </c>
      <c r="M19" s="9" t="n">
        <f aca="false">C19/B19</f>
        <v>17097.0833333333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72860.24</v>
      </c>
      <c r="D20" s="9" t="n">
        <v>27010</v>
      </c>
      <c r="E20" s="9" t="n">
        <v>16280</v>
      </c>
      <c r="F20" s="9"/>
      <c r="G20" s="9" t="n">
        <v>15560.44</v>
      </c>
      <c r="H20" s="9" t="n">
        <v>2965</v>
      </c>
      <c r="I20" s="9" t="n">
        <v>11044.8</v>
      </c>
      <c r="J20" s="9"/>
      <c r="K20" s="9" t="n">
        <f aca="false">(D20+E20+J20+G20+I20)/B20</f>
        <v>12481.2928571429</v>
      </c>
      <c r="L20" s="9" t="n">
        <f aca="false">(F20+H20)/B20</f>
        <v>529.464285714286</v>
      </c>
      <c r="M20" s="9" t="n">
        <f aca="false">C20/B20</f>
        <v>13010.7571428571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95439.24</v>
      </c>
      <c r="D21" s="9" t="n">
        <v>47628</v>
      </c>
      <c r="E21" s="9" t="n">
        <v>16280</v>
      </c>
      <c r="F21" s="9"/>
      <c r="G21" s="9" t="n">
        <v>16276.18</v>
      </c>
      <c r="H21" s="9" t="n">
        <v>2265</v>
      </c>
      <c r="I21" s="9" t="n">
        <v>12990.06</v>
      </c>
      <c r="J21" s="9"/>
      <c r="K21" s="9" t="n">
        <f aca="false">(D21+E21+J21+G21+I21)/B21</f>
        <v>12591.1135135135</v>
      </c>
      <c r="L21" s="9" t="n">
        <f aca="false">(F21+H21)/B21</f>
        <v>306.081081081081</v>
      </c>
      <c r="M21" s="9" t="n">
        <f aca="false">C21/B21</f>
        <v>12897.1945945946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117496.77</v>
      </c>
      <c r="D22" s="9" t="n">
        <v>65558</v>
      </c>
      <c r="E22" s="9" t="n">
        <v>15600</v>
      </c>
      <c r="F22" s="9"/>
      <c r="G22" s="9" t="n">
        <v>16607.75</v>
      </c>
      <c r="H22" s="9" t="n">
        <v>7663</v>
      </c>
      <c r="I22" s="9" t="n">
        <v>12068.02</v>
      </c>
      <c r="J22" s="9"/>
      <c r="K22" s="9" t="n">
        <f aca="false">(D22+E22+J22+G22+I22)/B22</f>
        <v>13345.5370595383</v>
      </c>
      <c r="L22" s="9" t="n">
        <f aca="false">(F22+H22)/B22</f>
        <v>931.105710814095</v>
      </c>
      <c r="M22" s="9" t="n">
        <f aca="false">C22/B22</f>
        <v>14276.6427703524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4</v>
      </c>
      <c r="C23" s="9" t="n">
        <f aca="false">+D23+E23+F23+G23+H23+I23+J23</f>
        <v>43910.23</v>
      </c>
      <c r="D23" s="9" t="n">
        <v>25641</v>
      </c>
      <c r="E23" s="9" t="n">
        <v>4725</v>
      </c>
      <c r="F23" s="9"/>
      <c r="G23" s="9" t="n">
        <v>4977.05</v>
      </c>
      <c r="H23" s="9" t="n">
        <v>8125</v>
      </c>
      <c r="I23" s="9" t="n">
        <v>442.18</v>
      </c>
      <c r="J23" s="9"/>
      <c r="K23" s="9" t="n">
        <f aca="false">(D23+E23+J23+G23+I23)/B23</f>
        <v>8946.3075</v>
      </c>
      <c r="L23" s="9" t="n">
        <f aca="false">(F23+H23)/B23</f>
        <v>2031.25</v>
      </c>
      <c r="M23" s="9" t="n">
        <f aca="false">C23/B23</f>
        <v>10977.5575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313936.41</v>
      </c>
      <c r="D24" s="9" t="n">
        <v>175275</v>
      </c>
      <c r="E24" s="9" t="n">
        <v>50505</v>
      </c>
      <c r="F24" s="20" t="n">
        <v>37200</v>
      </c>
      <c r="G24" s="9" t="n">
        <v>29924.56</v>
      </c>
      <c r="H24" s="9" t="n">
        <v>5060</v>
      </c>
      <c r="I24" s="9" t="n">
        <v>15971.85</v>
      </c>
      <c r="J24" s="9"/>
      <c r="K24" s="9" t="n">
        <f aca="false">(D24+E24+J24+G24+I24)/B24</f>
        <v>13583.8205</v>
      </c>
      <c r="L24" s="9" t="n">
        <f aca="false">(F24+H24)/B24</f>
        <v>2113</v>
      </c>
      <c r="M24" s="9" t="n">
        <f aca="false">C24/B24</f>
        <v>15696.8205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158872.66</v>
      </c>
      <c r="D25" s="9" t="n">
        <v>73961</v>
      </c>
      <c r="E25" s="9" t="n">
        <v>26340</v>
      </c>
      <c r="F25" s="9"/>
      <c r="G25" s="9" t="n">
        <v>28466.25</v>
      </c>
      <c r="H25" s="9" t="n">
        <v>9463</v>
      </c>
      <c r="I25" s="9" t="n">
        <v>20642.41</v>
      </c>
      <c r="J25" s="9"/>
      <c r="K25" s="9" t="n">
        <f aca="false">(D25+E25+J25+G25+I25)/B25</f>
        <v>13770.4755760369</v>
      </c>
      <c r="L25" s="9" t="n">
        <f aca="false">(F25+H25)/B25</f>
        <v>872.165898617512</v>
      </c>
      <c r="M25" s="9" t="n">
        <f aca="false">C25/B25</f>
        <v>14642.6414746544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27630.14</v>
      </c>
      <c r="D26" s="9" t="n">
        <v>7025</v>
      </c>
      <c r="E26" s="9" t="n">
        <v>5840</v>
      </c>
      <c r="F26" s="9"/>
      <c r="G26" s="9" t="n">
        <v>5587.29</v>
      </c>
      <c r="H26" s="9" t="n">
        <v>2072</v>
      </c>
      <c r="I26" s="9" t="n">
        <v>7105.85</v>
      </c>
      <c r="J26" s="9"/>
      <c r="K26" s="9" t="n">
        <f aca="false">(D26+E26+J26+G26+I26)/B26</f>
        <v>7323.24928366762</v>
      </c>
      <c r="L26" s="9" t="n">
        <f aca="false">(F26+H26)/B26</f>
        <v>593.696275071633</v>
      </c>
      <c r="M26" s="9" t="n">
        <f aca="false">C26/B26</f>
        <v>7916.94555873925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51324.4</v>
      </c>
      <c r="D27" s="9" t="n">
        <v>28105</v>
      </c>
      <c r="E27" s="9" t="n">
        <v>11600</v>
      </c>
      <c r="F27" s="9"/>
      <c r="G27" s="9" t="n">
        <v>2404.04</v>
      </c>
      <c r="H27" s="9" t="n">
        <v>2475</v>
      </c>
      <c r="I27" s="9" t="n">
        <v>6740.36</v>
      </c>
      <c r="J27" s="9"/>
      <c r="K27" s="9" t="n">
        <f aca="false">(D27+E27+J27+G27+I27)/B27</f>
        <v>8801.6936936937</v>
      </c>
      <c r="L27" s="9" t="n">
        <f aca="false">(F27+H27)/B27</f>
        <v>445.945945945946</v>
      </c>
      <c r="M27" s="9" t="n">
        <f aca="false">C27/B27</f>
        <v>9247.63963963964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80864.2</v>
      </c>
      <c r="D28" s="9" t="n">
        <v>53541</v>
      </c>
      <c r="E28" s="9" t="n">
        <v>13100</v>
      </c>
      <c r="F28" s="9"/>
      <c r="G28" s="9" t="n">
        <v>5234.42</v>
      </c>
      <c r="H28" s="9" t="n">
        <v>2475</v>
      </c>
      <c r="I28" s="9" t="n">
        <v>6513.78</v>
      </c>
      <c r="J28" s="9"/>
      <c r="K28" s="9" t="n">
        <f aca="false">(D28+E28+J28+G28+I28)/B28</f>
        <v>13021.4617940199</v>
      </c>
      <c r="L28" s="9" t="n">
        <f aca="false">(F28+H28)/B28</f>
        <v>411.129568106312</v>
      </c>
      <c r="M28" s="9" t="n">
        <f aca="false">C28/B28</f>
        <v>13432.5913621262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89723.18</v>
      </c>
      <c r="D29" s="9" t="n">
        <v>65766</v>
      </c>
      <c r="E29" s="9"/>
      <c r="F29" s="9"/>
      <c r="G29" s="9" t="n">
        <v>9377.52</v>
      </c>
      <c r="H29" s="9" t="n">
        <v>1800</v>
      </c>
      <c r="I29" s="9" t="n">
        <v>12779.66</v>
      </c>
      <c r="J29" s="9"/>
      <c r="K29" s="9" t="n">
        <f aca="false">(D29+E29+J29+G29+I29)/B29</f>
        <v>7645.49391304348</v>
      </c>
      <c r="L29" s="9" t="n">
        <f aca="false">(F29+H29)/B29</f>
        <v>156.521739130435</v>
      </c>
      <c r="M29" s="9" t="n">
        <f aca="false">C29/B29</f>
        <v>7802.01565217391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62999.13</v>
      </c>
      <c r="D30" s="26" t="n">
        <v>32383</v>
      </c>
      <c r="E30" s="9" t="n">
        <v>6070</v>
      </c>
      <c r="F30" s="9"/>
      <c r="G30" s="9" t="n">
        <v>11253.15</v>
      </c>
      <c r="H30" s="9" t="n">
        <v>1328</v>
      </c>
      <c r="I30" s="9" t="n">
        <v>11964.98</v>
      </c>
      <c r="J30" s="9"/>
      <c r="K30" s="9" t="n">
        <f aca="false">(D30+E30+J30+G30+I30)/B30</f>
        <v>9946.9564516129</v>
      </c>
      <c r="L30" s="9" t="n">
        <f aca="false">(F30+H30)/B30</f>
        <v>214.193548387097</v>
      </c>
      <c r="M30" s="9" t="n">
        <f aca="false">C30/B30</f>
        <v>10161.15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36724.53</v>
      </c>
      <c r="D31" s="9" t="n">
        <v>14986</v>
      </c>
      <c r="E31" s="9" t="n">
        <v>6000</v>
      </c>
      <c r="F31" s="9"/>
      <c r="G31" s="9" t="n">
        <v>10295.53</v>
      </c>
      <c r="H31" s="9" t="n">
        <v>286</v>
      </c>
      <c r="I31" s="9" t="n">
        <v>5157</v>
      </c>
      <c r="J31" s="9"/>
      <c r="K31" s="9" t="n">
        <f aca="false">(D31+E31+J31+G31+I31)/B31</f>
        <v>6875.19433962264</v>
      </c>
      <c r="L31" s="9" t="n">
        <f aca="false">(F31+H31)/B31</f>
        <v>53.9622641509434</v>
      </c>
      <c r="M31" s="9" t="n">
        <f aca="false">C31/B31</f>
        <v>6929.15660377359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165298.43</v>
      </c>
      <c r="D32" s="9" t="n">
        <v>119037</v>
      </c>
      <c r="E32" s="9" t="n">
        <v>13500</v>
      </c>
      <c r="F32" s="9"/>
      <c r="G32" s="9" t="n">
        <v>8949.6</v>
      </c>
      <c r="H32" s="9" t="n">
        <v>6362</v>
      </c>
      <c r="I32" s="9" t="n">
        <v>17449.83</v>
      </c>
      <c r="J32" s="9"/>
      <c r="K32" s="9" t="n">
        <f aca="false">(D32+E32+J32+G32+I32)/B32</f>
        <v>10961.1331034483</v>
      </c>
      <c r="L32" s="9" t="n">
        <f aca="false">(F32+H32)/B32</f>
        <v>438.758620689655</v>
      </c>
      <c r="M32" s="9" t="n">
        <f aca="false">C32/B32</f>
        <v>11399.8917241379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0" colorId="64" zoomScale="118" zoomScaleNormal="118" zoomScalePageLayoutView="100" workbookViewId="0">
      <selection pane="topLeft" activeCell="C48" activeCellId="0" sqref="C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212868.43</v>
      </c>
      <c r="D2" s="9" t="n">
        <v>94709</v>
      </c>
      <c r="E2" s="9" t="n">
        <v>25200</v>
      </c>
      <c r="F2" s="9" t="n">
        <v>9100</v>
      </c>
      <c r="G2" s="9" t="n">
        <v>28657.56</v>
      </c>
      <c r="H2" s="9" t="n">
        <v>40850</v>
      </c>
      <c r="I2" s="9" t="n">
        <v>14351.87</v>
      </c>
      <c r="J2" s="9"/>
      <c r="K2" s="9" t="n">
        <f aca="false">(D2+E2+J2+G2+I2)/B2</f>
        <v>16900.2520746888</v>
      </c>
      <c r="L2" s="9" t="n">
        <f aca="false">(F2+H2)/B2</f>
        <v>5181.53526970954</v>
      </c>
      <c r="M2" s="9" t="n">
        <f aca="false">C2/B2</f>
        <v>22081.7873443983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103935.65</v>
      </c>
      <c r="D3" s="9" t="n">
        <v>47955</v>
      </c>
      <c r="E3" s="9" t="n">
        <v>9600</v>
      </c>
      <c r="F3" s="9" t="n">
        <v>5580</v>
      </c>
      <c r="G3" s="9" t="n">
        <v>17892.67</v>
      </c>
      <c r="H3" s="9" t="n">
        <v>18389</v>
      </c>
      <c r="I3" s="9" t="n">
        <v>3738.98</v>
      </c>
      <c r="J3" s="9" t="n">
        <v>780</v>
      </c>
      <c r="K3" s="9" t="n">
        <f aca="false">(D3+E3+J3+G3+I3)/B3</f>
        <v>9191.56896551724</v>
      </c>
      <c r="L3" s="9" t="n">
        <f aca="false">(F3+H3)/B3</f>
        <v>2755.05747126437</v>
      </c>
      <c r="M3" s="9" t="n">
        <f aca="false">C3/B3</f>
        <v>11946.6264367816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62135.93</v>
      </c>
      <c r="D4" s="9" t="n">
        <v>45770</v>
      </c>
      <c r="E4" s="9" t="n">
        <v>7005</v>
      </c>
      <c r="F4" s="9"/>
      <c r="G4" s="9" t="n">
        <v>2184.95</v>
      </c>
      <c r="H4" s="9" t="n">
        <v>1097</v>
      </c>
      <c r="I4" s="9" t="n">
        <v>3738.98</v>
      </c>
      <c r="J4" s="9" t="n">
        <v>2340</v>
      </c>
      <c r="K4" s="9" t="n">
        <f aca="false">(D4+E4+J4+G4+I4)/B4</f>
        <v>9537.3328125</v>
      </c>
      <c r="L4" s="9" t="n">
        <f aca="false">(F4+H4)/B4</f>
        <v>171.40625</v>
      </c>
      <c r="M4" s="9" t="n">
        <f aca="false">C4/B4</f>
        <v>9708.7390625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363251.12</v>
      </c>
      <c r="D5" s="9" t="n">
        <v>220723</v>
      </c>
      <c r="E5" s="9" t="n">
        <v>48750</v>
      </c>
      <c r="F5" s="9" t="n">
        <v>10200</v>
      </c>
      <c r="G5" s="9" t="n">
        <v>26472.46</v>
      </c>
      <c r="H5" s="9" t="n">
        <v>15627</v>
      </c>
      <c r="I5" s="9" t="n">
        <v>41478.66</v>
      </c>
      <c r="J5" s="9"/>
      <c r="K5" s="9" t="n">
        <f aca="false">(D5+E5+J5+G5+I5)/B5</f>
        <v>22570.1752508361</v>
      </c>
      <c r="L5" s="9" t="n">
        <f aca="false">(F5+H5)/B5</f>
        <v>1727.55852842809</v>
      </c>
      <c r="M5" s="9" t="n">
        <f aca="false">C5/B5</f>
        <v>24297.7337792642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102189.63</v>
      </c>
      <c r="D6" s="9" t="n">
        <v>58735</v>
      </c>
      <c r="E6" s="9" t="n">
        <v>15750</v>
      </c>
      <c r="F6" s="9"/>
      <c r="G6" s="9" t="n">
        <v>15570.61</v>
      </c>
      <c r="H6" s="9" t="n">
        <v>850</v>
      </c>
      <c r="I6" s="9" t="n">
        <v>11284.02</v>
      </c>
      <c r="J6" s="9"/>
      <c r="K6" s="9" t="n">
        <f aca="false">(D6+E6+J6+G6+I6)/B6</f>
        <v>15590.7123076923</v>
      </c>
      <c r="L6" s="9" t="n">
        <f aca="false">(F6+H6)/B6</f>
        <v>130.769230769231</v>
      </c>
      <c r="M6" s="9" t="n">
        <f aca="false">C6/B6</f>
        <v>15721.4815384615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146760.21</v>
      </c>
      <c r="D7" s="9" t="n">
        <v>74143</v>
      </c>
      <c r="E7" s="9" t="n">
        <v>31100</v>
      </c>
      <c r="F7" s="9"/>
      <c r="G7" s="9" t="n">
        <v>21231.5</v>
      </c>
      <c r="H7" s="9" t="n">
        <v>5681</v>
      </c>
      <c r="I7" s="9" t="n">
        <v>14604.71</v>
      </c>
      <c r="J7" s="9"/>
      <c r="K7" s="9" t="n">
        <f aca="false">(D7+E7+J7+G7+I7)/B7</f>
        <v>13172.6619981326</v>
      </c>
      <c r="L7" s="9" t="n">
        <f aca="false">(F7+H7)/B7</f>
        <v>530.438842203548</v>
      </c>
      <c r="M7" s="9" t="n">
        <f aca="false">C7/B7</f>
        <v>13703.1008403361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145661.4</v>
      </c>
      <c r="D8" s="9" t="n">
        <v>102787</v>
      </c>
      <c r="E8" s="9" t="n">
        <v>22550</v>
      </c>
      <c r="F8" s="9"/>
      <c r="G8" s="9" t="n">
        <v>5503.04</v>
      </c>
      <c r="H8" s="9" t="n">
        <v>690</v>
      </c>
      <c r="I8" s="9" t="n">
        <v>11916.36</v>
      </c>
      <c r="J8" s="9" t="n">
        <v>2215</v>
      </c>
      <c r="K8" s="9" t="n">
        <f aca="false">(D8+E8+J8+G8+I8)/B8</f>
        <v>20079.1412742382</v>
      </c>
      <c r="L8" s="9" t="n">
        <f aca="false">(F8+H8)/B8</f>
        <v>95.5678670360111</v>
      </c>
      <c r="M8" s="9" t="n">
        <f aca="false">C8/B8</f>
        <v>20174.7091412742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145619.47</v>
      </c>
      <c r="D9" s="9" t="n">
        <v>68336</v>
      </c>
      <c r="E9" s="9" t="n">
        <v>22538</v>
      </c>
      <c r="F9" s="9"/>
      <c r="G9" s="9" t="n">
        <v>28838.56</v>
      </c>
      <c r="H9" s="9"/>
      <c r="I9" s="9" t="n">
        <v>25906.91</v>
      </c>
      <c r="J9" s="9"/>
      <c r="K9" s="9" t="n">
        <f aca="false">(D9+E9+J9+G9+I9)/B9</f>
        <v>18550.250955414</v>
      </c>
      <c r="L9" s="9" t="n">
        <f aca="false">(F9+H9)/B9</f>
        <v>0</v>
      </c>
      <c r="M9" s="9" t="n">
        <f aca="false">C9/B9</f>
        <v>18550.250955414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159367.38</v>
      </c>
      <c r="D10" s="9" t="n">
        <v>103121</v>
      </c>
      <c r="E10" s="9" t="n">
        <v>16500</v>
      </c>
      <c r="F10" s="9"/>
      <c r="G10" s="9" t="n">
        <v>14806.51</v>
      </c>
      <c r="H10" s="9"/>
      <c r="I10" s="9" t="n">
        <v>21299.87</v>
      </c>
      <c r="J10" s="9" t="n">
        <v>3640</v>
      </c>
      <c r="K10" s="9" t="n">
        <f aca="false">(D10+E10+J10+G10+I10)/B10</f>
        <v>17417.2</v>
      </c>
      <c r="L10" s="9" t="n">
        <f aca="false">(F10+H10)/B10</f>
        <v>0</v>
      </c>
      <c r="M10" s="9" t="n">
        <f aca="false">C10/B10</f>
        <v>17417.2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109532.29</v>
      </c>
      <c r="D11" s="9" t="n">
        <v>71675</v>
      </c>
      <c r="E11" s="9" t="n">
        <v>19270</v>
      </c>
      <c r="F11" s="9"/>
      <c r="G11" s="9" t="n">
        <v>4261.35</v>
      </c>
      <c r="H11" s="9"/>
      <c r="I11" s="9" t="n">
        <v>14325.94</v>
      </c>
      <c r="J11" s="9"/>
      <c r="K11" s="9" t="n">
        <f aca="false">(D11+E11+J11+G11+I11)/B11</f>
        <v>14412.1434210526</v>
      </c>
      <c r="L11" s="9" t="n">
        <f aca="false">(F11+H11)/B11</f>
        <v>0</v>
      </c>
      <c r="M11" s="9" t="n">
        <f aca="false">C11/B11</f>
        <v>14412.1434210526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124624.94</v>
      </c>
      <c r="D12" s="9" t="n">
        <v>56905</v>
      </c>
      <c r="E12" s="9" t="n">
        <v>40055</v>
      </c>
      <c r="F12" s="9"/>
      <c r="G12" s="9" t="n">
        <v>13553.97</v>
      </c>
      <c r="H12" s="9" t="n">
        <v>1020</v>
      </c>
      <c r="I12" s="9" t="n">
        <v>12050.97</v>
      </c>
      <c r="J12" s="9" t="n">
        <v>1040</v>
      </c>
      <c r="K12" s="9" t="n">
        <f aca="false">(D12+E12+J12+G12+I12)/B12</f>
        <v>8828.92428571429</v>
      </c>
      <c r="L12" s="9" t="n">
        <f aca="false">(F12+H12)/B12</f>
        <v>72.8571428571429</v>
      </c>
      <c r="M12" s="9" t="n">
        <f aca="false">C12/B12</f>
        <v>8901.78142857143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31282.59</v>
      </c>
      <c r="D13" s="9" t="n">
        <v>29155</v>
      </c>
      <c r="E13" s="9"/>
      <c r="F13" s="9"/>
      <c r="G13" s="9" t="n">
        <v>-1000.72</v>
      </c>
      <c r="H13" s="9"/>
      <c r="I13" s="9" t="n">
        <v>3128.31</v>
      </c>
      <c r="J13" s="9"/>
      <c r="K13" s="9" t="n">
        <f aca="false">(D13+E13+J13+G13+I13)/B13</f>
        <v>5248.7567114094</v>
      </c>
      <c r="L13" s="9" t="n">
        <f aca="false">(F13+H13)/B13</f>
        <v>0</v>
      </c>
      <c r="M13" s="9" t="n">
        <f aca="false">C13/B13</f>
        <v>5248.7567114094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120251.51</v>
      </c>
      <c r="D14" s="9" t="n">
        <v>90850</v>
      </c>
      <c r="E14" s="9" t="n">
        <v>17660</v>
      </c>
      <c r="F14" s="9"/>
      <c r="G14" s="9" t="n">
        <v>5483.59</v>
      </c>
      <c r="H14" s="9"/>
      <c r="I14" s="9" t="n">
        <v>5302.92</v>
      </c>
      <c r="J14" s="9" t="n">
        <v>955</v>
      </c>
      <c r="K14" s="9" t="n">
        <f aca="false">(D14+E14+J14+G14+I14)/B14</f>
        <v>27329.8886363636</v>
      </c>
      <c r="L14" s="9" t="n">
        <f aca="false">(F14+H14)/B14</f>
        <v>0</v>
      </c>
      <c r="M14" s="9" t="n">
        <f aca="false">C14/B14</f>
        <v>27329.8886363636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102923.45</v>
      </c>
      <c r="D15" s="9" t="n">
        <v>66297</v>
      </c>
      <c r="E15" s="9" t="n">
        <v>15800</v>
      </c>
      <c r="F15" s="9"/>
      <c r="G15" s="9" t="n">
        <v>12459.72</v>
      </c>
      <c r="H15" s="9"/>
      <c r="I15" s="9" t="n">
        <v>8366.73</v>
      </c>
      <c r="J15" s="9"/>
      <c r="K15" s="9" t="n">
        <f aca="false">(D15+E15+J15+G15+I15)/B15</f>
        <v>19310.2157598499</v>
      </c>
      <c r="L15" s="9" t="n">
        <f aca="false">(F15+H15)/B15</f>
        <v>0</v>
      </c>
      <c r="M15" s="9" t="n">
        <f aca="false">C15/B15</f>
        <v>19310.2157598499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325783.16</v>
      </c>
      <c r="D16" s="9" t="n">
        <v>188100</v>
      </c>
      <c r="E16" s="9" t="n">
        <v>35800</v>
      </c>
      <c r="F16" s="9" t="n">
        <v>55240</v>
      </c>
      <c r="G16" s="9" t="n">
        <v>11504.9</v>
      </c>
      <c r="H16" s="9"/>
      <c r="I16" s="9" t="n">
        <v>31118.26</v>
      </c>
      <c r="J16" s="9" t="n">
        <v>4020</v>
      </c>
      <c r="K16" s="9" t="n">
        <f aca="false">(D16+E16+J16+G16+I16)/B16</f>
        <v>26266.3262135922</v>
      </c>
      <c r="L16" s="9" t="n">
        <f aca="false">(F16+H16)/B16</f>
        <v>5363.1067961165</v>
      </c>
      <c r="M16" s="9" t="n">
        <f aca="false">C16/B16</f>
        <v>31629.4330097087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76287.36</v>
      </c>
      <c r="D17" s="9" t="n">
        <v>31377</v>
      </c>
      <c r="E17" s="9" t="n">
        <v>11500</v>
      </c>
      <c r="F17" s="9" t="n">
        <v>5150</v>
      </c>
      <c r="G17" s="9" t="n">
        <v>15348.61</v>
      </c>
      <c r="H17" s="9"/>
      <c r="I17" s="9" t="n">
        <v>8441.75</v>
      </c>
      <c r="J17" s="9" t="n">
        <v>4470</v>
      </c>
      <c r="K17" s="9" t="n">
        <f aca="false">(D17+E17+J17+G17+I17)/B17</f>
        <v>11856.2266666667</v>
      </c>
      <c r="L17" s="9" t="n">
        <f aca="false">(F17+H17)/B17</f>
        <v>858.333333333333</v>
      </c>
      <c r="M17" s="9" t="n">
        <f aca="false">C17/B17</f>
        <v>12714.56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7.8</v>
      </c>
      <c r="C18" s="9" t="n">
        <f aca="false">+D18+E18+F18+G18+H18+I18+J18</f>
        <v>168435.08</v>
      </c>
      <c r="D18" s="9" t="n">
        <v>103054</v>
      </c>
      <c r="E18" s="9" t="n">
        <v>33640</v>
      </c>
      <c r="F18" s="9"/>
      <c r="G18" s="9" t="n">
        <v>17059.41</v>
      </c>
      <c r="H18" s="9"/>
      <c r="I18" s="9" t="n">
        <v>13681.67</v>
      </c>
      <c r="J18" s="9" t="n">
        <v>1000</v>
      </c>
      <c r="K18" s="9" t="n">
        <f aca="false">(D18+E18+J18+G18+I18)/B18</f>
        <v>21594.241025641</v>
      </c>
      <c r="L18" s="9" t="n">
        <f aca="false">(F18+H18)/B18</f>
        <v>0</v>
      </c>
      <c r="M18" s="9" t="n">
        <f aca="false">C18/B18</f>
        <v>21594.241025641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91463.5</v>
      </c>
      <c r="D19" s="9" t="n">
        <v>52967</v>
      </c>
      <c r="E19" s="9" t="n">
        <v>20124</v>
      </c>
      <c r="F19" s="9"/>
      <c r="G19" s="9" t="n">
        <v>9863.64</v>
      </c>
      <c r="H19" s="9"/>
      <c r="I19" s="9" t="n">
        <v>7858.86</v>
      </c>
      <c r="J19" s="9" t="n">
        <v>650</v>
      </c>
      <c r="K19" s="9" t="n">
        <f aca="false">(D19+E19+J19+G19+I19)/B19</f>
        <v>15243.9166666667</v>
      </c>
      <c r="L19" s="9" t="n">
        <f aca="false">(F19+H19)/B19</f>
        <v>0</v>
      </c>
      <c r="M19" s="9" t="n">
        <f aca="false">C19/B19</f>
        <v>15243.9166666667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63449.24</v>
      </c>
      <c r="D20" s="9" t="n">
        <v>24189</v>
      </c>
      <c r="E20" s="9" t="n">
        <v>11875</v>
      </c>
      <c r="F20" s="9"/>
      <c r="G20" s="9" t="n">
        <v>15560.44</v>
      </c>
      <c r="H20" s="9"/>
      <c r="I20" s="9" t="n">
        <v>11044.8</v>
      </c>
      <c r="J20" s="9" t="n">
        <v>780</v>
      </c>
      <c r="K20" s="9" t="n">
        <f aca="false">(D20+E20+J20+G20+I20)/B20</f>
        <v>11330.2214285714</v>
      </c>
      <c r="L20" s="9" t="n">
        <f aca="false">(F20+H20)/B20</f>
        <v>0</v>
      </c>
      <c r="M20" s="9" t="n">
        <f aca="false">C20/B20</f>
        <v>11330.2214285714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76408.24</v>
      </c>
      <c r="D21" s="9" t="n">
        <v>37452</v>
      </c>
      <c r="E21" s="9" t="n">
        <v>8650</v>
      </c>
      <c r="F21" s="9"/>
      <c r="G21" s="9" t="n">
        <v>16276.18</v>
      </c>
      <c r="H21" s="9"/>
      <c r="I21" s="9" t="n">
        <v>12990.06</v>
      </c>
      <c r="J21" s="9" t="n">
        <v>1040</v>
      </c>
      <c r="K21" s="9" t="n">
        <f aca="false">(D21+E21+J21+G21+I21)/B21</f>
        <v>10325.4378378378</v>
      </c>
      <c r="L21" s="9" t="n">
        <f aca="false">(F21+H21)/B21</f>
        <v>0</v>
      </c>
      <c r="M21" s="9" t="n">
        <f aca="false">C21/B21</f>
        <v>10325.4378378378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123215.77</v>
      </c>
      <c r="D22" s="9" t="n">
        <v>78830</v>
      </c>
      <c r="E22" s="9" t="n">
        <v>14800</v>
      </c>
      <c r="F22" s="9"/>
      <c r="G22" s="9" t="n">
        <v>16607.75</v>
      </c>
      <c r="H22" s="9"/>
      <c r="I22" s="9" t="n">
        <v>12068.02</v>
      </c>
      <c r="J22" s="9" t="n">
        <v>910</v>
      </c>
      <c r="K22" s="9" t="n">
        <f aca="false">(D22+E22+J22+G22+I22)/B22</f>
        <v>14971.5394896719</v>
      </c>
      <c r="L22" s="9" t="n">
        <f aca="false">(F22+H22)/B22</f>
        <v>0</v>
      </c>
      <c r="M22" s="9" t="n">
        <f aca="false">C22/B22</f>
        <v>14971.5394896719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39019.23</v>
      </c>
      <c r="D23" s="9" t="n">
        <v>28875</v>
      </c>
      <c r="E23" s="9" t="n">
        <v>4725</v>
      </c>
      <c r="F23" s="9"/>
      <c r="G23" s="9" t="n">
        <v>4977.05</v>
      </c>
      <c r="H23" s="9"/>
      <c r="I23" s="9" t="n">
        <v>442.18</v>
      </c>
      <c r="J23" s="9"/>
      <c r="K23" s="9" t="n">
        <f aca="false">(D23+E23+J23+G23+I23)/B23</f>
        <v>7362.11886792453</v>
      </c>
      <c r="L23" s="9" t="n">
        <f aca="false">(F23+H23)/B23</f>
        <v>0</v>
      </c>
      <c r="M23" s="9" t="n">
        <f aca="false">C23/B23</f>
        <v>7362.11886792453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20</v>
      </c>
      <c r="C24" s="9" t="n">
        <f aca="false">+D24+E24+F24+G24+H24+I24+J24</f>
        <v>263471.41</v>
      </c>
      <c r="D24" s="9" t="n">
        <v>148765</v>
      </c>
      <c r="E24" s="9" t="n">
        <v>59595</v>
      </c>
      <c r="F24" s="20" t="n">
        <v>7440</v>
      </c>
      <c r="G24" s="9" t="n">
        <v>29924.56</v>
      </c>
      <c r="H24" s="9"/>
      <c r="I24" s="9" t="n">
        <v>15971.85</v>
      </c>
      <c r="J24" s="9" t="n">
        <v>1775</v>
      </c>
      <c r="K24" s="9" t="n">
        <f aca="false">(D24+E24+J24+G24+I24)/B24</f>
        <v>12801.5705</v>
      </c>
      <c r="L24" s="9" t="n">
        <f aca="false">(F24+H24)/B24</f>
        <v>372</v>
      </c>
      <c r="M24" s="9" t="n">
        <f aca="false">C24/B24</f>
        <v>13173.5705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154324.66</v>
      </c>
      <c r="D25" s="9" t="n">
        <v>75931</v>
      </c>
      <c r="E25" s="9" t="n">
        <v>29285</v>
      </c>
      <c r="F25" s="9"/>
      <c r="G25" s="9" t="n">
        <v>28466.25</v>
      </c>
      <c r="H25" s="9"/>
      <c r="I25" s="9" t="n">
        <v>20642.41</v>
      </c>
      <c r="J25" s="9"/>
      <c r="K25" s="9" t="n">
        <f aca="false">(D25+E25+J25+G25+I25)/B25</f>
        <v>14223.4709677419</v>
      </c>
      <c r="L25" s="9" t="n">
        <f aca="false">(F25+H25)/B25</f>
        <v>0</v>
      </c>
      <c r="M25" s="9" t="n">
        <f aca="false">C25/B25</f>
        <v>14223.4709677419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34708.14</v>
      </c>
      <c r="D26" s="9" t="n">
        <v>16175</v>
      </c>
      <c r="E26" s="9" t="n">
        <v>5840</v>
      </c>
      <c r="F26" s="9"/>
      <c r="G26" s="9" t="n">
        <v>5587.29</v>
      </c>
      <c r="H26" s="9"/>
      <c r="I26" s="9" t="n">
        <v>7105.85</v>
      </c>
      <c r="J26" s="9"/>
      <c r="K26" s="9" t="n">
        <f aca="false">(D26+E26+J26+G26+I26)/B26</f>
        <v>9945.02578796562</v>
      </c>
      <c r="L26" s="9" t="n">
        <f aca="false">(F26+H26)/B26</f>
        <v>0</v>
      </c>
      <c r="M26" s="9" t="n">
        <f aca="false">C26/B26</f>
        <v>9945.02578796562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48934.4</v>
      </c>
      <c r="D27" s="9" t="n">
        <v>28215</v>
      </c>
      <c r="E27" s="9" t="n">
        <v>11575</v>
      </c>
      <c r="F27" s="9"/>
      <c r="G27" s="9" t="n">
        <v>2404.04</v>
      </c>
      <c r="H27" s="9"/>
      <c r="I27" s="9" t="n">
        <v>6740.36</v>
      </c>
      <c r="J27" s="9"/>
      <c r="K27" s="9" t="n">
        <f aca="false">(D27+E27+J27+G27+I27)/B27</f>
        <v>8817.00900900901</v>
      </c>
      <c r="L27" s="9" t="n">
        <f aca="false">(F27+H27)/B27</f>
        <v>0</v>
      </c>
      <c r="M27" s="9" t="n">
        <f aca="false">C27/B27</f>
        <v>8817.00900900901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57149.2</v>
      </c>
      <c r="D28" s="9" t="n">
        <v>32701</v>
      </c>
      <c r="E28" s="9" t="n">
        <v>12700</v>
      </c>
      <c r="F28" s="9"/>
      <c r="G28" s="9" t="n">
        <v>5234.42</v>
      </c>
      <c r="H28" s="9"/>
      <c r="I28" s="9" t="n">
        <v>6513.78</v>
      </c>
      <c r="J28" s="9"/>
      <c r="K28" s="9" t="n">
        <f aca="false">(D28+E28+J28+G28+I28)/B28</f>
        <v>9493.22259136213</v>
      </c>
      <c r="L28" s="9" t="n">
        <f aca="false">(F28+H28)/B28</f>
        <v>0</v>
      </c>
      <c r="M28" s="9" t="n">
        <f aca="false">C28/B28</f>
        <v>9493.22259136213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90654.18</v>
      </c>
      <c r="D29" s="9" t="n">
        <v>66501</v>
      </c>
      <c r="E29" s="9"/>
      <c r="F29" s="9"/>
      <c r="G29" s="9" t="n">
        <v>9377.52</v>
      </c>
      <c r="H29" s="9"/>
      <c r="I29" s="9" t="n">
        <v>12779.66</v>
      </c>
      <c r="J29" s="9" t="n">
        <v>1996</v>
      </c>
      <c r="K29" s="9" t="n">
        <f aca="false">(D29+E29+J29+G29+I29)/B29</f>
        <v>7882.97217391305</v>
      </c>
      <c r="L29" s="9" t="n">
        <f aca="false">(F29+H29)/B29</f>
        <v>0</v>
      </c>
      <c r="M29" s="9" t="n">
        <f aca="false">C29/B29</f>
        <v>7882.97217391305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62608.82</v>
      </c>
      <c r="D30" s="26" t="n">
        <v>33447</v>
      </c>
      <c r="E30" s="9" t="n">
        <v>11300</v>
      </c>
      <c r="F30" s="9"/>
      <c r="G30" s="9" t="n">
        <v>11253.15</v>
      </c>
      <c r="H30" s="9"/>
      <c r="I30" s="9" t="n">
        <v>6608.67</v>
      </c>
      <c r="J30" s="9"/>
      <c r="K30" s="9" t="n">
        <f aca="false">(D30+E30+J30+G30+I30)/B30</f>
        <v>10098.1967741935</v>
      </c>
      <c r="L30" s="9" t="n">
        <f aca="false">(F30+H30)/B30</f>
        <v>0</v>
      </c>
      <c r="M30" s="9" t="n">
        <f aca="false">C30/B30</f>
        <v>10098.1967741935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43692.53</v>
      </c>
      <c r="D31" s="9" t="n">
        <v>21846</v>
      </c>
      <c r="E31" s="9" t="n">
        <v>6000</v>
      </c>
      <c r="F31" s="9"/>
      <c r="G31" s="9" t="n">
        <v>10295.53</v>
      </c>
      <c r="H31" s="9" t="n">
        <v>394</v>
      </c>
      <c r="I31" s="9" t="n">
        <v>5157</v>
      </c>
      <c r="J31" s="9"/>
      <c r="K31" s="9" t="n">
        <f aca="false">(D31+E31+J31+G31+I31)/B31</f>
        <v>8169.53396226415</v>
      </c>
      <c r="L31" s="9" t="n">
        <f aca="false">(F31+H31)/B31</f>
        <v>74.3396226415094</v>
      </c>
      <c r="M31" s="9" t="n">
        <f aca="false">C31/B31</f>
        <v>8243.87358490566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195609.03</v>
      </c>
      <c r="D32" s="9" t="n">
        <v>145190</v>
      </c>
      <c r="E32" s="9" t="n">
        <v>11250</v>
      </c>
      <c r="F32" s="9"/>
      <c r="G32" s="9" t="n">
        <v>8949.6</v>
      </c>
      <c r="H32" s="9"/>
      <c r="I32" s="9" t="n">
        <v>29369.43</v>
      </c>
      <c r="J32" s="9" t="n">
        <v>850</v>
      </c>
      <c r="K32" s="9" t="n">
        <f aca="false">(D32+E32+J32+G32+I32)/B32</f>
        <v>13490.2779310345</v>
      </c>
      <c r="L32" s="9" t="n">
        <f aca="false">(F32+H32)/B32</f>
        <v>0</v>
      </c>
      <c r="M32" s="9" t="n">
        <f aca="false">C32/B32</f>
        <v>13490.2779310345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3" colorId="64" zoomScale="118" zoomScaleNormal="118" zoomScalePageLayoutView="100" workbookViewId="0">
      <selection pane="topLeft" activeCell="D48" activeCellId="0" sqref="D4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206732.28</v>
      </c>
      <c r="D2" s="9" t="n">
        <v>93785</v>
      </c>
      <c r="E2" s="9" t="n">
        <v>25200</v>
      </c>
      <c r="F2" s="9"/>
      <c r="G2" s="9" t="n">
        <v>24157.01</v>
      </c>
      <c r="H2" s="9" t="n">
        <v>45272</v>
      </c>
      <c r="I2" s="9" t="n">
        <v>18318.27</v>
      </c>
      <c r="J2" s="9"/>
      <c r="K2" s="9" t="n">
        <f aca="false">(D2+E2+J2+G2+I2)/B2</f>
        <v>16748.9917012448</v>
      </c>
      <c r="L2" s="9" t="n">
        <f aca="false">(F2+H2)/B2</f>
        <v>4696.26556016597</v>
      </c>
      <c r="M2" s="9" t="n">
        <f aca="false">C2/B2</f>
        <v>21445.2572614108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78595.11</v>
      </c>
      <c r="D3" s="9" t="n">
        <v>45824</v>
      </c>
      <c r="E3" s="9" t="n">
        <v>14000</v>
      </c>
      <c r="F3" s="9"/>
      <c r="G3" s="9" t="n">
        <v>11842.02</v>
      </c>
      <c r="H3" s="9" t="n">
        <v>2540</v>
      </c>
      <c r="I3" s="9" t="n">
        <v>4389.09</v>
      </c>
      <c r="J3" s="9"/>
      <c r="K3" s="9" t="n">
        <f aca="false">(D3+E3+J3+G3+I3)/B3</f>
        <v>8741.96666666667</v>
      </c>
      <c r="L3" s="9" t="n">
        <f aca="false">(F3+H3)/B3</f>
        <v>291.954022988506</v>
      </c>
      <c r="M3" s="9" t="n">
        <f aca="false">C3/B3</f>
        <v>9033.92068965517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67081.33</v>
      </c>
      <c r="D4" s="9" t="n">
        <v>40804</v>
      </c>
      <c r="E4" s="9" t="n">
        <v>11750</v>
      </c>
      <c r="F4" s="9"/>
      <c r="G4" s="9" t="n">
        <v>5238.24</v>
      </c>
      <c r="H4" s="9" t="n">
        <v>4900</v>
      </c>
      <c r="I4" s="9" t="n">
        <v>4389.09</v>
      </c>
      <c r="J4" s="9"/>
      <c r="K4" s="9" t="n">
        <f aca="false">(D4+E4+J4+G4+I4)/B4</f>
        <v>9715.8328125</v>
      </c>
      <c r="L4" s="9" t="n">
        <f aca="false">(F4+H4)/B4</f>
        <v>765.625</v>
      </c>
      <c r="M4" s="9" t="n">
        <f aca="false">C4/B4</f>
        <v>10481.4578125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374498.15</v>
      </c>
      <c r="D5" s="9" t="n">
        <v>240320</v>
      </c>
      <c r="E5" s="9" t="n">
        <v>48750</v>
      </c>
      <c r="F5" s="9"/>
      <c r="G5" s="9" t="n">
        <v>29877.29</v>
      </c>
      <c r="H5" s="9" t="n">
        <v>10960</v>
      </c>
      <c r="I5" s="9" t="n">
        <v>44590.86</v>
      </c>
      <c r="J5" s="9"/>
      <c r="K5" s="9" t="n">
        <f aca="false">(D5+E5+J5+G5+I5)/B5</f>
        <v>24316.9331103679</v>
      </c>
      <c r="L5" s="9" t="n">
        <f aca="false">(F5+H5)/B5</f>
        <v>733.110367892977</v>
      </c>
      <c r="M5" s="9" t="n">
        <f aca="false">C5/B5</f>
        <v>25050.0434782609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115354.11</v>
      </c>
      <c r="D6" s="9" t="n">
        <v>69284</v>
      </c>
      <c r="E6" s="9" t="n">
        <v>18000</v>
      </c>
      <c r="F6" s="9"/>
      <c r="G6" s="9" t="n">
        <v>13070.44</v>
      </c>
      <c r="H6" s="9" t="n">
        <v>1630</v>
      </c>
      <c r="I6" s="9" t="n">
        <v>13369.67</v>
      </c>
      <c r="J6" s="9"/>
      <c r="K6" s="9" t="n">
        <f aca="false">(D6+E6+J6+G6+I6)/B6</f>
        <v>17496.0169230769</v>
      </c>
      <c r="L6" s="9" t="n">
        <f aca="false">(F6+H6)/B6</f>
        <v>250.769230769231</v>
      </c>
      <c r="M6" s="9" t="n">
        <f aca="false">C6/B6</f>
        <v>17746.7861538462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249024.76</v>
      </c>
      <c r="D7" s="9" t="n">
        <v>77812</v>
      </c>
      <c r="E7" s="9" t="n">
        <v>40941</v>
      </c>
      <c r="F7" s="9"/>
      <c r="G7" s="9" t="n">
        <v>22481.98</v>
      </c>
      <c r="H7" s="9" t="n">
        <v>94005</v>
      </c>
      <c r="I7" s="9" t="n">
        <v>13784.78</v>
      </c>
      <c r="J7" s="9"/>
      <c r="K7" s="9" t="n">
        <f aca="false">(D7+E7+J7+G7+I7)/B7</f>
        <v>14474.3006535948</v>
      </c>
      <c r="L7" s="9" t="n">
        <f aca="false">(F7+H7)/B7</f>
        <v>8777.31092436975</v>
      </c>
      <c r="M7" s="9" t="n">
        <f aca="false">C7/B7</f>
        <v>23251.6115779645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171266.7</v>
      </c>
      <c r="D8" s="9" t="n">
        <v>120020</v>
      </c>
      <c r="E8" s="9" t="n">
        <v>21230</v>
      </c>
      <c r="F8" s="9"/>
      <c r="G8" s="9" t="n">
        <v>9116.52</v>
      </c>
      <c r="H8" s="9" t="n">
        <v>5560</v>
      </c>
      <c r="I8" s="9" t="n">
        <v>15340.18</v>
      </c>
      <c r="J8" s="9"/>
      <c r="K8" s="9" t="n">
        <f aca="false">(D8+E8+J8+G8+I8)/B8</f>
        <v>22951.0664819945</v>
      </c>
      <c r="L8" s="9" t="n">
        <f aca="false">(F8+H8)/B8</f>
        <v>770.083102493075</v>
      </c>
      <c r="M8" s="9" t="n">
        <f aca="false">C8/B8</f>
        <v>23721.1495844875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139342.94</v>
      </c>
      <c r="D9" s="9" t="n">
        <v>64108</v>
      </c>
      <c r="E9" s="9" t="n">
        <v>21160</v>
      </c>
      <c r="F9" s="9"/>
      <c r="G9" s="9" t="n">
        <v>20914.83</v>
      </c>
      <c r="H9" s="9" t="n">
        <v>8844</v>
      </c>
      <c r="I9" s="9" t="n">
        <v>21976.11</v>
      </c>
      <c r="J9" s="9" t="n">
        <v>2340</v>
      </c>
      <c r="K9" s="9" t="n">
        <f aca="false">(D9+E9+J9+G9+I9)/B9</f>
        <v>16624.0687898089</v>
      </c>
      <c r="L9" s="9" t="n">
        <f aca="false">(F9+H9)/B9</f>
        <v>1126.62420382166</v>
      </c>
      <c r="M9" s="9" t="n">
        <f aca="false">C9/B9</f>
        <v>17750.6929936306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169049.24</v>
      </c>
      <c r="D10" s="9" t="n">
        <v>107610</v>
      </c>
      <c r="E10" s="9" t="n">
        <v>19300</v>
      </c>
      <c r="F10" s="9"/>
      <c r="G10" s="9" t="n">
        <v>16808.46</v>
      </c>
      <c r="H10" s="9" t="n">
        <v>3867</v>
      </c>
      <c r="I10" s="9" t="n">
        <v>21463.78</v>
      </c>
      <c r="J10" s="9"/>
      <c r="K10" s="9" t="n">
        <f aca="false">(D10+E10+J10+G10+I10)/B10</f>
        <v>18052.7038251366</v>
      </c>
      <c r="L10" s="9" t="n">
        <f aca="false">(F10+H10)/B10</f>
        <v>422.622950819672</v>
      </c>
      <c r="M10" s="9" t="n">
        <f aca="false">C10/B10</f>
        <v>18475.3267759563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142904.92</v>
      </c>
      <c r="D11" s="9" t="n">
        <v>83330</v>
      </c>
      <c r="E11" s="9" t="n">
        <v>23100</v>
      </c>
      <c r="F11" s="9"/>
      <c r="G11" s="9" t="n">
        <v>7762.18</v>
      </c>
      <c r="H11" s="9" t="n">
        <v>13045</v>
      </c>
      <c r="I11" s="9" t="n">
        <v>15667.74</v>
      </c>
      <c r="J11" s="9"/>
      <c r="K11" s="9" t="n">
        <f aca="false">(D11+E11+J11+G11+I11)/B11</f>
        <v>17086.8315789474</v>
      </c>
      <c r="L11" s="9" t="n">
        <f aca="false">(F11+H11)/B11</f>
        <v>1716.44736842105</v>
      </c>
      <c r="M11" s="9" t="n">
        <f aca="false">C11/B11</f>
        <v>18803.2789473684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185067.24</v>
      </c>
      <c r="D12" s="9" t="n">
        <v>102836</v>
      </c>
      <c r="E12" s="9" t="n">
        <v>45100</v>
      </c>
      <c r="F12" s="9"/>
      <c r="G12" s="9" t="n">
        <v>13305.04</v>
      </c>
      <c r="H12" s="9" t="n">
        <v>7696</v>
      </c>
      <c r="I12" s="9" t="n">
        <v>16130.2</v>
      </c>
      <c r="J12" s="9"/>
      <c r="K12" s="9" t="n">
        <f aca="false">(D12+E12+J12+G12+I12)/B12</f>
        <v>12669.3742857143</v>
      </c>
      <c r="L12" s="9" t="n">
        <f aca="false">(F12+H12)/B12</f>
        <v>549.714285714286</v>
      </c>
      <c r="M12" s="9" t="n">
        <f aca="false">C12/B12</f>
        <v>13219.0885714286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51351.88</v>
      </c>
      <c r="D13" s="9" t="n">
        <v>40396</v>
      </c>
      <c r="E13" s="9"/>
      <c r="F13" s="9"/>
      <c r="G13" s="9" t="n">
        <v>6750.73</v>
      </c>
      <c r="H13" s="9" t="n">
        <v>1000</v>
      </c>
      <c r="I13" s="9" t="n">
        <v>3205.15</v>
      </c>
      <c r="J13" s="9"/>
      <c r="K13" s="9" t="n">
        <f aca="false">(D13+E13+J13+G13+I13)/B13</f>
        <v>8448.30201342282</v>
      </c>
      <c r="L13" s="9" t="n">
        <f aca="false">(F13+H13)/B13</f>
        <v>167.785234899329</v>
      </c>
      <c r="M13" s="9" t="n">
        <f aca="false">C13/B13</f>
        <v>8616.08724832215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124313.27</v>
      </c>
      <c r="D14" s="9" t="n">
        <v>97572</v>
      </c>
      <c r="E14" s="9" t="n">
        <v>13700</v>
      </c>
      <c r="F14" s="9"/>
      <c r="G14" s="9" t="n">
        <v>6167.71</v>
      </c>
      <c r="H14" s="9" t="n">
        <v>1780</v>
      </c>
      <c r="I14" s="9" t="n">
        <v>5093.56</v>
      </c>
      <c r="J14" s="9"/>
      <c r="K14" s="9" t="n">
        <f aca="false">(D14+E14+J14+G14+I14)/B14</f>
        <v>27848.4704545455</v>
      </c>
      <c r="L14" s="9" t="n">
        <f aca="false">(F14+H14)/B14</f>
        <v>404.545454545455</v>
      </c>
      <c r="M14" s="9" t="n">
        <f aca="false">C14/B14</f>
        <v>28253.0159090909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125653.41</v>
      </c>
      <c r="D15" s="9" t="n">
        <v>81345</v>
      </c>
      <c r="E15" s="9" t="n">
        <v>16000</v>
      </c>
      <c r="F15" s="9"/>
      <c r="G15" s="9" t="n">
        <v>12393.29</v>
      </c>
      <c r="H15" s="9" t="n">
        <v>7771</v>
      </c>
      <c r="I15" s="9" t="n">
        <v>8144.12</v>
      </c>
      <c r="J15" s="9"/>
      <c r="K15" s="9" t="n">
        <f aca="false">(D15+E15+J15+G15+I15)/B15</f>
        <v>22116.7748592871</v>
      </c>
      <c r="L15" s="9" t="n">
        <f aca="false">(F15+H15)/B15</f>
        <v>1457.97373358349</v>
      </c>
      <c r="M15" s="9" t="n">
        <f aca="false">C15/B15</f>
        <v>23574.7485928705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260768.23</v>
      </c>
      <c r="D16" s="9" t="n">
        <v>175750</v>
      </c>
      <c r="E16" s="9" t="n">
        <v>35110</v>
      </c>
      <c r="F16" s="9"/>
      <c r="G16" s="9" t="n">
        <v>8005.83</v>
      </c>
      <c r="H16" s="9" t="n">
        <v>4542</v>
      </c>
      <c r="I16" s="9" t="n">
        <v>34515.4</v>
      </c>
      <c r="J16" s="9" t="n">
        <v>2845</v>
      </c>
      <c r="K16" s="9" t="n">
        <f aca="false">(D16+E16+J16+G16+I16)/B16</f>
        <v>24876.3330097087</v>
      </c>
      <c r="L16" s="9" t="n">
        <f aca="false">(F16+H16)/B16</f>
        <v>440.970873786408</v>
      </c>
      <c r="M16" s="9" t="n">
        <f aca="false">C16/B16</f>
        <v>25317.3038834951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84131.43</v>
      </c>
      <c r="D17" s="9" t="n">
        <v>42115</v>
      </c>
      <c r="E17" s="9" t="n">
        <v>10585</v>
      </c>
      <c r="F17" s="9"/>
      <c r="G17" s="9" t="n">
        <v>14528.2</v>
      </c>
      <c r="H17" s="9" t="n">
        <v>6375</v>
      </c>
      <c r="I17" s="9" t="n">
        <v>10528.23</v>
      </c>
      <c r="J17" s="9"/>
      <c r="K17" s="9" t="n">
        <f aca="false">(D17+E17+J17+G17+I17)/B17</f>
        <v>12959.405</v>
      </c>
      <c r="L17" s="9" t="n">
        <f aca="false">(F17+H17)/B17</f>
        <v>1062.5</v>
      </c>
      <c r="M17" s="9" t="n">
        <f aca="false">C17/B17</f>
        <v>14021.905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210335.55</v>
      </c>
      <c r="D18" s="9" t="n">
        <v>138007</v>
      </c>
      <c r="E18" s="9" t="n">
        <v>30962</v>
      </c>
      <c r="F18" s="9"/>
      <c r="G18" s="9" t="n">
        <v>14182.87</v>
      </c>
      <c r="H18" s="9" t="n">
        <v>7157</v>
      </c>
      <c r="I18" s="9" t="n">
        <v>20026.68</v>
      </c>
      <c r="J18" s="9"/>
      <c r="K18" s="9" t="n">
        <f aca="false">(D18+E18+J18+G18+I18)/B18</f>
        <v>21614.7393617021</v>
      </c>
      <c r="L18" s="9" t="n">
        <f aca="false">(F18+H18)/B18</f>
        <v>761.382978723404</v>
      </c>
      <c r="M18" s="9" t="n">
        <f aca="false">C18/B18</f>
        <v>22376.1223404255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103465.96</v>
      </c>
      <c r="D19" s="9" t="n">
        <v>55790</v>
      </c>
      <c r="E19" s="9" t="n">
        <v>21500</v>
      </c>
      <c r="F19" s="9"/>
      <c r="G19" s="9" t="n">
        <v>10710.17</v>
      </c>
      <c r="H19" s="9" t="n">
        <v>5477</v>
      </c>
      <c r="I19" s="9" t="n">
        <v>9988.79</v>
      </c>
      <c r="J19" s="9"/>
      <c r="K19" s="9" t="n">
        <f aca="false">(D19+E19+J19+G19+I19)/B19</f>
        <v>16331.4933333333</v>
      </c>
      <c r="L19" s="9" t="n">
        <f aca="false">(F19+H19)/B19</f>
        <v>912.833333333333</v>
      </c>
      <c r="M19" s="9" t="n">
        <f aca="false">C19/B19</f>
        <v>17244.3266666667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58801.39</v>
      </c>
      <c r="D20" s="9" t="n">
        <v>22520</v>
      </c>
      <c r="E20" s="9" t="n">
        <v>4810</v>
      </c>
      <c r="F20" s="9"/>
      <c r="G20" s="9" t="n">
        <v>17072.69</v>
      </c>
      <c r="H20" s="9" t="n">
        <v>3220</v>
      </c>
      <c r="I20" s="9" t="n">
        <v>10353.7</v>
      </c>
      <c r="J20" s="9" t="n">
        <v>825</v>
      </c>
      <c r="K20" s="9" t="n">
        <f aca="false">(D20+E20+J20+G20+I20)/B20</f>
        <v>9925.24821428572</v>
      </c>
      <c r="L20" s="9" t="n">
        <f aca="false">(F20+H20)/B20</f>
        <v>575</v>
      </c>
      <c r="M20" s="9" t="n">
        <f aca="false">C20/B20</f>
        <v>10500.2482142857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89039.97</v>
      </c>
      <c r="D21" s="9" t="n">
        <v>41785</v>
      </c>
      <c r="E21" s="9" t="n">
        <v>14950</v>
      </c>
      <c r="F21" s="9"/>
      <c r="G21" s="9" t="n">
        <v>17443.94</v>
      </c>
      <c r="H21" s="9" t="n">
        <v>2941</v>
      </c>
      <c r="I21" s="9" t="n">
        <v>11140.03</v>
      </c>
      <c r="J21" s="9" t="n">
        <v>780</v>
      </c>
      <c r="K21" s="9" t="n">
        <f aca="false">(D21+E21+J21+G21+I21)/B21</f>
        <v>11634.9959459459</v>
      </c>
      <c r="L21" s="9" t="n">
        <f aca="false">(F21+H21)/B21</f>
        <v>397.432432432432</v>
      </c>
      <c r="M21" s="9" t="n">
        <f aca="false">C21/B21</f>
        <v>12032.4283783784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162065.77</v>
      </c>
      <c r="D22" s="9" t="n">
        <v>112075</v>
      </c>
      <c r="E22" s="9" t="n">
        <v>15755</v>
      </c>
      <c r="F22" s="9"/>
      <c r="G22" s="9" t="n">
        <v>16310.25</v>
      </c>
      <c r="H22" s="9" t="n">
        <v>7202</v>
      </c>
      <c r="I22" s="9" t="n">
        <v>10723.52</v>
      </c>
      <c r="J22" s="9"/>
      <c r="K22" s="9" t="n">
        <f aca="false">(D22+E22+J22+G22+I22)/B22</f>
        <v>18816.9829890644</v>
      </c>
      <c r="L22" s="9" t="n">
        <f aca="false">(F22+H22)/B22</f>
        <v>875.091130012151</v>
      </c>
      <c r="M22" s="9" t="n">
        <f aca="false">C22/B22</f>
        <v>19692.0741190765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44153.31</v>
      </c>
      <c r="D23" s="9" t="n">
        <v>33006</v>
      </c>
      <c r="E23" s="9" t="n">
        <v>4725</v>
      </c>
      <c r="F23" s="9"/>
      <c r="G23" s="9" t="n">
        <v>1572.13</v>
      </c>
      <c r="H23" s="9" t="n">
        <v>4408</v>
      </c>
      <c r="I23" s="9" t="n">
        <v>442.18</v>
      </c>
      <c r="J23" s="9"/>
      <c r="K23" s="9" t="n">
        <f aca="false">(D23+E23+J23+G23+I23)/B23</f>
        <v>7499.11509433962</v>
      </c>
      <c r="L23" s="9" t="n">
        <f aca="false">(F23+H23)/B23</f>
        <v>831.698113207547</v>
      </c>
      <c r="M23" s="9" t="n">
        <f aca="false">C23/B23</f>
        <v>8330.81320754717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266829.13</v>
      </c>
      <c r="D24" s="9" t="n">
        <v>148170</v>
      </c>
      <c r="E24" s="9" t="n">
        <v>64570</v>
      </c>
      <c r="F24" s="20"/>
      <c r="G24" s="9" t="n">
        <v>30608.28</v>
      </c>
      <c r="H24" s="9" t="n">
        <v>5218</v>
      </c>
      <c r="I24" s="9" t="n">
        <v>17352.85</v>
      </c>
      <c r="J24" s="9" t="n">
        <v>910</v>
      </c>
      <c r="K24" s="9" t="n">
        <f aca="false">(D24+E24+J24+G24+I24)/B24</f>
        <v>10506.4710843374</v>
      </c>
      <c r="L24" s="9" t="n">
        <f aca="false">(F24+H24)/B24</f>
        <v>209.558232931727</v>
      </c>
      <c r="M24" s="9" t="n">
        <f aca="false">C24/B24</f>
        <v>10716.0293172691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186960.65</v>
      </c>
      <c r="D25" s="9" t="n">
        <v>101947</v>
      </c>
      <c r="E25" s="9" t="n">
        <v>19000</v>
      </c>
      <c r="F25" s="9"/>
      <c r="G25" s="9" t="n">
        <v>21191.22</v>
      </c>
      <c r="H25" s="9" t="n">
        <v>24862.57</v>
      </c>
      <c r="I25" s="9" t="n">
        <v>19959.86</v>
      </c>
      <c r="J25" s="9"/>
      <c r="K25" s="9" t="n">
        <f aca="false">(D25+E25+J25+G25+I25)/B25</f>
        <v>14939.9152073733</v>
      </c>
      <c r="L25" s="9" t="n">
        <f aca="false">(F25+H25)/B25</f>
        <v>2291.48110599078</v>
      </c>
      <c r="M25" s="9" t="n">
        <f aca="false">C25/B25</f>
        <v>17231.3963133641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46182.4</v>
      </c>
      <c r="D26" s="9" t="n">
        <v>21965</v>
      </c>
      <c r="E26" s="9" t="n">
        <v>7400</v>
      </c>
      <c r="F26" s="9"/>
      <c r="G26" s="9" t="n">
        <v>7362.09</v>
      </c>
      <c r="H26" s="9" t="n">
        <v>2630</v>
      </c>
      <c r="I26" s="9" t="n">
        <v>6825.31</v>
      </c>
      <c r="J26" s="9"/>
      <c r="K26" s="9" t="n">
        <f aca="false">(D26+E26+J26+G26+I26)/B26</f>
        <v>12479.1977077364</v>
      </c>
      <c r="L26" s="9" t="n">
        <f aca="false">(F26+H26)/B26</f>
        <v>753.581661891117</v>
      </c>
      <c r="M26" s="9" t="n">
        <f aca="false">C26/B26</f>
        <v>13232.7793696275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62983.75</v>
      </c>
      <c r="D27" s="9" t="n">
        <v>31130</v>
      </c>
      <c r="E27" s="9" t="n">
        <v>12150</v>
      </c>
      <c r="F27" s="9"/>
      <c r="G27" s="9" t="n">
        <v>7811.44</v>
      </c>
      <c r="H27" s="9" t="n">
        <v>2525</v>
      </c>
      <c r="I27" s="9" t="n">
        <v>9367.31</v>
      </c>
      <c r="J27" s="9"/>
      <c r="K27" s="9" t="n">
        <f aca="false">(D27+E27+J27+G27+I27)/B27</f>
        <v>10893.4684684685</v>
      </c>
      <c r="L27" s="9" t="n">
        <f aca="false">(F27+H27)/B27</f>
        <v>454.954954954955</v>
      </c>
      <c r="M27" s="9" t="n">
        <f aca="false">C27/B27</f>
        <v>11348.4234234234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84377.05</v>
      </c>
      <c r="D28" s="9" t="n">
        <v>56930</v>
      </c>
      <c r="E28" s="9" t="n">
        <v>11970</v>
      </c>
      <c r="F28" s="9"/>
      <c r="G28" s="9" t="n">
        <v>5234.35</v>
      </c>
      <c r="H28" s="9" t="n">
        <v>2525</v>
      </c>
      <c r="I28" s="9" t="n">
        <v>7717.7</v>
      </c>
      <c r="J28" s="9"/>
      <c r="K28" s="9" t="n">
        <f aca="false">(D28+E28+J28+G28+I28)/B28</f>
        <v>13596.6860465116</v>
      </c>
      <c r="L28" s="9" t="n">
        <f aca="false">(F28+H28)/B28</f>
        <v>419.435215946844</v>
      </c>
      <c r="M28" s="9" t="n">
        <f aca="false">C28/B28</f>
        <v>14016.1212624585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113235.1</v>
      </c>
      <c r="D29" s="9" t="n">
        <v>77026</v>
      </c>
      <c r="E29" s="9" t="n">
        <v>9300</v>
      </c>
      <c r="F29" s="9"/>
      <c r="G29" s="9" t="n">
        <v>12528.25</v>
      </c>
      <c r="H29" s="9" t="n">
        <v>3432</v>
      </c>
      <c r="I29" s="9" t="n">
        <v>10143.85</v>
      </c>
      <c r="J29" s="9" t="n">
        <v>805</v>
      </c>
      <c r="K29" s="9" t="n">
        <f aca="false">(D29+E29+J29+G29+I29)/B29</f>
        <v>9548.09565217391</v>
      </c>
      <c r="L29" s="9" t="n">
        <f aca="false">(F29+H29)/B29</f>
        <v>298.434782608696</v>
      </c>
      <c r="M29" s="9" t="n">
        <f aca="false">C29/B29</f>
        <v>9846.53043478261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80563.96</v>
      </c>
      <c r="D30" s="26" t="n">
        <v>41073</v>
      </c>
      <c r="E30" s="9" t="n">
        <v>16100</v>
      </c>
      <c r="F30" s="9"/>
      <c r="G30" s="9" t="n">
        <v>8102.38</v>
      </c>
      <c r="H30" s="9" t="n">
        <v>5335</v>
      </c>
      <c r="I30" s="9" t="n">
        <v>9953.58</v>
      </c>
      <c r="J30" s="9"/>
      <c r="K30" s="9" t="n">
        <f aca="false">(D30+E30+J30+G30+I30)/B30</f>
        <v>12133.7032258065</v>
      </c>
      <c r="L30" s="9" t="n">
        <f aca="false">(F30+H30)/B30</f>
        <v>860.483870967742</v>
      </c>
      <c r="M30" s="9" t="n">
        <f aca="false">C30/B30</f>
        <v>12994.1870967742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53464.26</v>
      </c>
      <c r="D31" s="9" t="n">
        <v>26021</v>
      </c>
      <c r="E31" s="9" t="n">
        <v>6000</v>
      </c>
      <c r="F31" s="9"/>
      <c r="G31" s="9" t="n">
        <v>12200.51</v>
      </c>
      <c r="H31" s="9" t="n">
        <v>1660</v>
      </c>
      <c r="I31" s="9" t="n">
        <v>7582.75</v>
      </c>
      <c r="J31" s="9"/>
      <c r="K31" s="9" t="n">
        <f aca="false">(D31+E31+J31+G31+I31)/B31</f>
        <v>9774.38867924528</v>
      </c>
      <c r="L31" s="9" t="n">
        <f aca="false">(F31+H31)/B31</f>
        <v>313.207547169811</v>
      </c>
      <c r="M31" s="9" t="n">
        <f aca="false">C31/B31</f>
        <v>10087.5962264151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214211.39</v>
      </c>
      <c r="D32" s="9" t="n">
        <v>163700</v>
      </c>
      <c r="E32" s="9" t="n">
        <v>9000</v>
      </c>
      <c r="F32" s="9"/>
      <c r="G32" s="9" t="n">
        <v>12603.39</v>
      </c>
      <c r="H32" s="9" t="n">
        <v>4517</v>
      </c>
      <c r="I32" s="9" t="n">
        <v>20881</v>
      </c>
      <c r="J32" s="9" t="n">
        <v>3510</v>
      </c>
      <c r="K32" s="9" t="n">
        <f aca="false">(D32+E32+J32+G32+I32)/B32</f>
        <v>14461.6820689655</v>
      </c>
      <c r="L32" s="9" t="n">
        <f aca="false">(F32+H32)/B32</f>
        <v>311.51724137931</v>
      </c>
      <c r="M32" s="9" t="n">
        <f aca="false">C32/B32</f>
        <v>14773.1993103448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3" colorId="64" zoomScale="118" zoomScaleNormal="118" zoomScalePageLayoutView="100" workbookViewId="0">
      <selection pane="topLeft" activeCell="C50" activeCellId="0" sqref="C50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182630.28</v>
      </c>
      <c r="D2" s="9" t="n">
        <v>113705</v>
      </c>
      <c r="E2" s="9" t="n">
        <v>25200</v>
      </c>
      <c r="F2" s="9"/>
      <c r="G2" s="9" t="n">
        <v>24157.01</v>
      </c>
      <c r="H2" s="9" t="n">
        <v>1250</v>
      </c>
      <c r="I2" s="9" t="n">
        <v>18318.27</v>
      </c>
      <c r="J2" s="9"/>
      <c r="K2" s="9" t="n">
        <f aca="false">(D2+E2+J2+G2+I2)/B2</f>
        <v>18815.3817427386</v>
      </c>
      <c r="L2" s="9" t="n">
        <f aca="false">(F2+H2)/B2</f>
        <v>129.668049792531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85153.11</v>
      </c>
      <c r="D3" s="9" t="n">
        <v>52009</v>
      </c>
      <c r="E3" s="9" t="n">
        <v>14400</v>
      </c>
      <c r="F3" s="9"/>
      <c r="G3" s="9" t="n">
        <v>11842.02</v>
      </c>
      <c r="H3" s="9" t="n">
        <v>2513</v>
      </c>
      <c r="I3" s="9" t="n">
        <v>4389.09</v>
      </c>
      <c r="J3" s="9"/>
      <c r="K3" s="9" t="n">
        <f aca="false">(D3+E3+J3+G3+I3)/B3</f>
        <v>9498.86321839081</v>
      </c>
      <c r="L3" s="9" t="n">
        <f aca="false">(F3+H3)/B3</f>
        <v>288.850574712644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60555.33</v>
      </c>
      <c r="D4" s="9" t="n">
        <v>34193</v>
      </c>
      <c r="E4" s="9" t="n">
        <v>11750</v>
      </c>
      <c r="F4" s="9"/>
      <c r="G4" s="9" t="n">
        <v>5238.24</v>
      </c>
      <c r="H4" s="9" t="n">
        <v>4985</v>
      </c>
      <c r="I4" s="9" t="n">
        <v>4389.09</v>
      </c>
      <c r="J4" s="9"/>
      <c r="K4" s="9" t="n">
        <f aca="false">(D4+E4+J4+G4+I4)/B4</f>
        <v>8682.8640625</v>
      </c>
      <c r="L4" s="9" t="n">
        <f aca="false">(F4+H4)/B4</f>
        <v>778.90625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372807.15</v>
      </c>
      <c r="D5" s="9" t="n">
        <v>245786</v>
      </c>
      <c r="E5" s="9" t="n">
        <v>51310</v>
      </c>
      <c r="F5" s="9"/>
      <c r="G5" s="9" t="n">
        <v>29877.29</v>
      </c>
      <c r="H5" s="9" t="n">
        <v>1243</v>
      </c>
      <c r="I5" s="9" t="n">
        <v>44590.86</v>
      </c>
      <c r="J5" s="9"/>
      <c r="K5" s="9" t="n">
        <f aca="false">(D5+E5+J5+G5+I5)/B5</f>
        <v>24853.7892976589</v>
      </c>
      <c r="L5" s="9" t="n">
        <f aca="false">(F5+H5)/B5</f>
        <v>83.1438127090301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132612.11</v>
      </c>
      <c r="D6" s="9" t="n">
        <v>57780</v>
      </c>
      <c r="E6" s="9" t="n">
        <v>18000</v>
      </c>
      <c r="F6" s="9" t="n">
        <v>24840</v>
      </c>
      <c r="G6" s="9" t="n">
        <v>13070.44</v>
      </c>
      <c r="H6" s="9" t="n">
        <v>5552</v>
      </c>
      <c r="I6" s="9" t="n">
        <v>13369.67</v>
      </c>
      <c r="J6" s="9"/>
      <c r="K6" s="9" t="n">
        <f aca="false">(D6+E6+J6+G6+I6)/B6</f>
        <v>15726.1707692308</v>
      </c>
      <c r="L6" s="9" t="n">
        <f aca="false">(F6+H6)/B6</f>
        <v>4675.69230769231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155578.76</v>
      </c>
      <c r="D7" s="9" t="n">
        <v>78441</v>
      </c>
      <c r="E7" s="9" t="n">
        <v>40005</v>
      </c>
      <c r="F7" s="9"/>
      <c r="G7" s="9" t="n">
        <v>22481.98</v>
      </c>
      <c r="H7" s="9" t="n">
        <v>866</v>
      </c>
      <c r="I7" s="9" t="n">
        <v>13784.78</v>
      </c>
      <c r="J7" s="9"/>
      <c r="K7" s="9" t="n">
        <f aca="false">(D7+E7+J7+G7+I7)/B7</f>
        <v>14445.6358543417</v>
      </c>
      <c r="L7" s="9" t="n">
        <f aca="false">(F7+H7)/B7</f>
        <v>80.859010270775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173053.7</v>
      </c>
      <c r="D8" s="9" t="n">
        <v>120422</v>
      </c>
      <c r="E8" s="9" t="n">
        <v>22550</v>
      </c>
      <c r="F8" s="9"/>
      <c r="G8" s="9" t="n">
        <v>9116.52</v>
      </c>
      <c r="H8" s="9" t="n">
        <v>5625</v>
      </c>
      <c r="I8" s="9" t="n">
        <v>15340.18</v>
      </c>
      <c r="J8" s="9"/>
      <c r="K8" s="9" t="n">
        <f aca="false">(D8+E8+J8+G8+I8)/B8</f>
        <v>23189.5706371191</v>
      </c>
      <c r="L8" s="9" t="n">
        <f aca="false">(F8+H8)/B8</f>
        <v>779.085872576177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118763.94</v>
      </c>
      <c r="D9" s="9" t="n">
        <v>58423</v>
      </c>
      <c r="E9" s="9" t="n">
        <v>16350</v>
      </c>
      <c r="F9" s="9"/>
      <c r="G9" s="9" t="n">
        <v>20914.83</v>
      </c>
      <c r="H9" s="9" t="n">
        <v>1100</v>
      </c>
      <c r="I9" s="9" t="n">
        <v>21976.11</v>
      </c>
      <c r="J9" s="9"/>
      <c r="K9" s="9" t="n">
        <f aca="false">(D9+E9+J9+G9+I9)/B9</f>
        <v>14989.0369426752</v>
      </c>
      <c r="L9" s="9" t="n">
        <f aca="false">(F9+H9)/B9</f>
        <v>140.127388535032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9.15</v>
      </c>
      <c r="C10" s="9" t="n">
        <f aca="false">+D10+E10+F10+G10+H10+I10+J10</f>
        <v>166783.24</v>
      </c>
      <c r="D10" s="9" t="n">
        <v>101011</v>
      </c>
      <c r="E10" s="9" t="n">
        <v>27500</v>
      </c>
      <c r="F10" s="9"/>
      <c r="G10" s="9" t="n">
        <v>16808.46</v>
      </c>
      <c r="H10" s="9"/>
      <c r="I10" s="9" t="n">
        <v>21463.78</v>
      </c>
      <c r="J10" s="9"/>
      <c r="K10" s="9" t="n">
        <f aca="false">(D10+E10+J10+G10+I10)/B10</f>
        <v>18227.6765027322</v>
      </c>
      <c r="L10" s="9" t="n">
        <f aca="false">(F10+H10)/B10</f>
        <v>0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129752.92</v>
      </c>
      <c r="D11" s="9" t="n">
        <v>84023</v>
      </c>
      <c r="E11" s="9" t="n">
        <v>22300</v>
      </c>
      <c r="F11" s="9"/>
      <c r="G11" s="9" t="n">
        <v>7762.18</v>
      </c>
      <c r="H11" s="9"/>
      <c r="I11" s="9" t="n">
        <v>15667.74</v>
      </c>
      <c r="J11" s="9"/>
      <c r="K11" s="9" t="n">
        <f aca="false">(D11+E11+J11+G11+I11)/B11</f>
        <v>17072.7526315789</v>
      </c>
      <c r="L11" s="9" t="n">
        <f aca="false">(F11+H11)/B11</f>
        <v>0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189576.24</v>
      </c>
      <c r="D12" s="9" t="n">
        <v>97121</v>
      </c>
      <c r="E12" s="9" t="n">
        <v>39700</v>
      </c>
      <c r="F12" s="9" t="n">
        <v>20460</v>
      </c>
      <c r="G12" s="9" t="n">
        <v>13305.04</v>
      </c>
      <c r="H12" s="9" t="n">
        <v>2860</v>
      </c>
      <c r="I12" s="9" t="n">
        <v>16130.2</v>
      </c>
      <c r="J12" s="9"/>
      <c r="K12" s="9" t="n">
        <f aca="false">(D12+E12+J12+G12+I12)/B12</f>
        <v>11875.4457142857</v>
      </c>
      <c r="L12" s="9" t="n">
        <f aca="false">(F12+H12)/B12</f>
        <v>1665.71428571429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35411.88</v>
      </c>
      <c r="D13" s="9" t="n">
        <v>24934</v>
      </c>
      <c r="E13" s="9"/>
      <c r="F13" s="9"/>
      <c r="G13" s="9" t="n">
        <v>6750.73</v>
      </c>
      <c r="H13" s="9" t="n">
        <v>522</v>
      </c>
      <c r="I13" s="9" t="n">
        <v>3205.15</v>
      </c>
      <c r="J13" s="9"/>
      <c r="K13" s="9" t="n">
        <f aca="false">(D13+E13+J13+G13+I13)/B13</f>
        <v>5854.0067114094</v>
      </c>
      <c r="L13" s="9" t="n">
        <f aca="false">(F13+H13)/B13</f>
        <v>87.5838926174497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99940.27</v>
      </c>
      <c r="D14" s="9" t="n">
        <v>70029</v>
      </c>
      <c r="E14" s="9" t="n">
        <v>18650</v>
      </c>
      <c r="F14" s="9"/>
      <c r="G14" s="9" t="n">
        <v>6167.71</v>
      </c>
      <c r="H14" s="9"/>
      <c r="I14" s="9" t="n">
        <v>5093.56</v>
      </c>
      <c r="J14" s="9"/>
      <c r="K14" s="9" t="n">
        <f aca="false">(D14+E14+J14+G14+I14)/B14</f>
        <v>22713.6977272727</v>
      </c>
      <c r="L14" s="9" t="n">
        <f aca="false">(F14+H14)/B14</f>
        <v>0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122931.41</v>
      </c>
      <c r="D15" s="9" t="n">
        <v>85614</v>
      </c>
      <c r="E15" s="9" t="n">
        <v>16000</v>
      </c>
      <c r="F15" s="9"/>
      <c r="G15" s="9" t="n">
        <v>12393.29</v>
      </c>
      <c r="H15" s="9"/>
      <c r="I15" s="9" t="n">
        <v>8144.12</v>
      </c>
      <c r="J15" s="9" t="n">
        <v>780</v>
      </c>
      <c r="K15" s="9" t="n">
        <f aca="false">(D15+E15+J15+G15+I15)/B15</f>
        <v>23064.0544090056</v>
      </c>
      <c r="L15" s="9" t="n">
        <f aca="false">(F15+H15)/B15</f>
        <v>0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225141.23</v>
      </c>
      <c r="D16" s="9" t="n">
        <v>154340</v>
      </c>
      <c r="E16" s="9" t="n">
        <v>28280</v>
      </c>
      <c r="F16" s="9"/>
      <c r="G16" s="9" t="n">
        <v>8005.83</v>
      </c>
      <c r="H16" s="9"/>
      <c r="I16" s="9" t="n">
        <v>34515.4</v>
      </c>
      <c r="J16" s="9"/>
      <c r="K16" s="9" t="n">
        <f aca="false">(D16+E16+J16+G16+I16)/B16</f>
        <v>21858.3718446602</v>
      </c>
      <c r="L16" s="9" t="n">
        <f aca="false">(F16+H16)/B16</f>
        <v>0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76994.43</v>
      </c>
      <c r="D17" s="9" t="n">
        <v>39938</v>
      </c>
      <c r="E17" s="9" t="n">
        <v>12000</v>
      </c>
      <c r="F17" s="9"/>
      <c r="G17" s="9" t="n">
        <v>14528.2</v>
      </c>
      <c r="H17" s="9"/>
      <c r="I17" s="9" t="n">
        <v>10528.23</v>
      </c>
      <c r="J17" s="9"/>
      <c r="K17" s="9" t="n">
        <f aca="false">(D17+E17+J17+G17+I17)/B17</f>
        <v>12832.405</v>
      </c>
      <c r="L17" s="9" t="n">
        <f aca="false">(F17+H17)/B17</f>
        <v>0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202998.55</v>
      </c>
      <c r="D18" s="9" t="n">
        <v>128224</v>
      </c>
      <c r="E18" s="9" t="n">
        <v>33605</v>
      </c>
      <c r="F18" s="9"/>
      <c r="G18" s="9" t="n">
        <v>14182.87</v>
      </c>
      <c r="H18" s="9" t="n">
        <v>5400</v>
      </c>
      <c r="I18" s="9" t="n">
        <v>20026.68</v>
      </c>
      <c r="J18" s="9" t="n">
        <v>1560</v>
      </c>
      <c r="K18" s="9" t="n">
        <f aca="false">(D18+E18+J18+G18+I18)/B18</f>
        <v>21021.1223404255</v>
      </c>
      <c r="L18" s="9" t="n">
        <f aca="false">(F18+H18)/B18</f>
        <v>574.468085106383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99043.96</v>
      </c>
      <c r="D19" s="9" t="n">
        <v>57292</v>
      </c>
      <c r="E19" s="9" t="n">
        <v>21053</v>
      </c>
      <c r="F19" s="9"/>
      <c r="G19" s="9" t="n">
        <v>10710.17</v>
      </c>
      <c r="H19" s="9"/>
      <c r="I19" s="9" t="n">
        <v>9988.79</v>
      </c>
      <c r="J19" s="9"/>
      <c r="K19" s="9" t="n">
        <f aca="false">(D19+E19+J19+G19+I19)/B19</f>
        <v>16507.3266666667</v>
      </c>
      <c r="L19" s="9" t="n">
        <f aca="false">(F19+H19)/B19</f>
        <v>0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52126.39</v>
      </c>
      <c r="D20" s="9" t="n">
        <v>19275</v>
      </c>
      <c r="E20" s="9" t="n">
        <v>2970</v>
      </c>
      <c r="F20" s="9"/>
      <c r="G20" s="9" t="n">
        <v>17072.69</v>
      </c>
      <c r="H20" s="9"/>
      <c r="I20" s="9" t="n">
        <v>10353.7</v>
      </c>
      <c r="J20" s="9" t="n">
        <v>2455</v>
      </c>
      <c r="K20" s="9" t="n">
        <f aca="false">(D20+E20+J20+G20+I20)/B20</f>
        <v>9308.28392857143</v>
      </c>
      <c r="L20" s="9" t="n">
        <f aca="false">(F20+H20)/B20</f>
        <v>0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97409.97</v>
      </c>
      <c r="D21" s="9" t="n">
        <v>54385</v>
      </c>
      <c r="E21" s="9" t="n">
        <v>14300</v>
      </c>
      <c r="F21" s="9"/>
      <c r="G21" s="9" t="n">
        <v>17443.94</v>
      </c>
      <c r="H21" s="9" t="n">
        <v>141</v>
      </c>
      <c r="I21" s="9" t="n">
        <v>11140.03</v>
      </c>
      <c r="J21" s="9"/>
      <c r="K21" s="9" t="n">
        <f aca="false">(D21+E21+J21+G21+I21)/B21</f>
        <v>13144.4554054054</v>
      </c>
      <c r="L21" s="9" t="n">
        <f aca="false">(F21+H21)/B21</f>
        <v>19.0540540540541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137776.17</v>
      </c>
      <c r="D22" s="9" t="n">
        <v>86400</v>
      </c>
      <c r="E22" s="9" t="n">
        <v>19600</v>
      </c>
      <c r="F22" s="9"/>
      <c r="G22" s="9" t="n">
        <v>16310.25</v>
      </c>
      <c r="H22" s="9" t="n">
        <v>4742.4</v>
      </c>
      <c r="I22" s="9" t="n">
        <v>10723.52</v>
      </c>
      <c r="J22" s="9"/>
      <c r="K22" s="9" t="n">
        <f aca="false">(D22+E22+J22+G22+I22)/B22</f>
        <v>16164.4921020656</v>
      </c>
      <c r="L22" s="9" t="n">
        <f aca="false">(F22+H22)/B22</f>
        <v>576.233292831106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41226.31</v>
      </c>
      <c r="D23" s="9" t="n">
        <v>34487</v>
      </c>
      <c r="E23" s="9" t="n">
        <v>4725</v>
      </c>
      <c r="F23" s="9"/>
      <c r="G23" s="9" t="n">
        <v>1572.13</v>
      </c>
      <c r="H23" s="9"/>
      <c r="I23" s="9" t="n">
        <v>442.18</v>
      </c>
      <c r="J23" s="9"/>
      <c r="K23" s="9" t="n">
        <f aca="false">(D23+E23+J23+G23+I23)/B23</f>
        <v>7778.54905660377</v>
      </c>
      <c r="L23" s="9" t="n">
        <f aca="false">(F23+H23)/B23</f>
        <v>0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304176.13</v>
      </c>
      <c r="D24" s="9" t="n">
        <v>187940</v>
      </c>
      <c r="E24" s="9" t="n">
        <v>67580</v>
      </c>
      <c r="F24" s="20"/>
      <c r="G24" s="9" t="n">
        <v>30608.28</v>
      </c>
      <c r="H24" s="9"/>
      <c r="I24" s="9" t="n">
        <v>17352.85</v>
      </c>
      <c r="J24" s="9" t="n">
        <v>695</v>
      </c>
      <c r="K24" s="9" t="n">
        <f aca="false">(D24+E24+J24+G24+I24)/B24</f>
        <v>12215.9088353414</v>
      </c>
      <c r="L24" s="9" t="n">
        <f aca="false">(F24+H24)/B24</f>
        <v>0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164591.08</v>
      </c>
      <c r="D25" s="9" t="n">
        <v>95180</v>
      </c>
      <c r="E25" s="9" t="n">
        <v>28260</v>
      </c>
      <c r="F25" s="9"/>
      <c r="G25" s="9" t="n">
        <v>21191.22</v>
      </c>
      <c r="H25" s="9"/>
      <c r="I25" s="9" t="n">
        <v>19959.86</v>
      </c>
      <c r="J25" s="9"/>
      <c r="K25" s="9" t="n">
        <f aca="false">(D25+E25+J25+G25+I25)/B25</f>
        <v>15169.6847926267</v>
      </c>
      <c r="L25" s="9" t="n">
        <f aca="false">(F25+H25)/B25</f>
        <v>0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36602.4</v>
      </c>
      <c r="D26" s="9" t="n">
        <v>15085</v>
      </c>
      <c r="E26" s="9" t="n">
        <v>7330</v>
      </c>
      <c r="F26" s="9"/>
      <c r="G26" s="9" t="n">
        <v>7362.09</v>
      </c>
      <c r="H26" s="9"/>
      <c r="I26" s="9" t="n">
        <v>6825.31</v>
      </c>
      <c r="J26" s="9"/>
      <c r="K26" s="9" t="n">
        <f aca="false">(D26+E26+J26+G26+I26)/B26</f>
        <v>10487.7936962751</v>
      </c>
      <c r="L26" s="9" t="n">
        <f aca="false">(F26+H26)/B26</f>
        <v>0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62803.75</v>
      </c>
      <c r="D27" s="9" t="n">
        <v>33375</v>
      </c>
      <c r="E27" s="9" t="n">
        <v>12250</v>
      </c>
      <c r="F27" s="9"/>
      <c r="G27" s="9" t="n">
        <v>7811.44</v>
      </c>
      <c r="H27" s="9"/>
      <c r="I27" s="9" t="n">
        <v>9367.31</v>
      </c>
      <c r="J27" s="9"/>
      <c r="K27" s="9" t="n">
        <f aca="false">(D27+E27+J27+G27+I27)/B27</f>
        <v>11315.990990991</v>
      </c>
      <c r="L27" s="9" t="n">
        <f aca="false">(F27+H27)/B27</f>
        <v>0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82412.05</v>
      </c>
      <c r="D28" s="9" t="n">
        <v>51640</v>
      </c>
      <c r="E28" s="9" t="n">
        <v>17820</v>
      </c>
      <c r="F28" s="9"/>
      <c r="G28" s="9" t="n">
        <v>5234.35</v>
      </c>
      <c r="H28" s="9"/>
      <c r="I28" s="9" t="n">
        <v>7717.7</v>
      </c>
      <c r="J28" s="9"/>
      <c r="K28" s="9" t="n">
        <f aca="false">(D28+E28+J28+G28+I28)/B28</f>
        <v>13689.7093023256</v>
      </c>
      <c r="L28" s="9" t="n">
        <f aca="false">(F28+H28)/B28</f>
        <v>0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121809.1</v>
      </c>
      <c r="D29" s="9" t="n">
        <v>83037</v>
      </c>
      <c r="E29" s="9" t="n">
        <v>16100</v>
      </c>
      <c r="F29" s="9"/>
      <c r="G29" s="9" t="n">
        <v>12528.25</v>
      </c>
      <c r="H29" s="9"/>
      <c r="I29" s="9" t="n">
        <v>10143.85</v>
      </c>
      <c r="J29" s="9"/>
      <c r="K29" s="9" t="n">
        <f aca="false">(D29+E29+J29+G29+I29)/B29</f>
        <v>10592.0956521739</v>
      </c>
      <c r="L29" s="9" t="n">
        <f aca="false">(F29+H29)/B29</f>
        <v>0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69742.96</v>
      </c>
      <c r="D30" s="26" t="n">
        <v>35587</v>
      </c>
      <c r="E30" s="9" t="n">
        <v>16100</v>
      </c>
      <c r="F30" s="9"/>
      <c r="G30" s="9" t="n">
        <v>8102.38</v>
      </c>
      <c r="H30" s="9"/>
      <c r="I30" s="9" t="n">
        <v>9953.58</v>
      </c>
      <c r="J30" s="9"/>
      <c r="K30" s="9" t="n">
        <f aca="false">(D30+E30+J30+G30+I30)/B30</f>
        <v>11248.864516129</v>
      </c>
      <c r="L30" s="9" t="n">
        <f aca="false">(F30+H30)/B30</f>
        <v>0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62069.26</v>
      </c>
      <c r="D31" s="9" t="n">
        <v>36286</v>
      </c>
      <c r="E31" s="9" t="n">
        <v>6000</v>
      </c>
      <c r="F31" s="9"/>
      <c r="G31" s="9" t="n">
        <v>12200.51</v>
      </c>
      <c r="H31" s="9"/>
      <c r="I31" s="9" t="n">
        <v>7582.75</v>
      </c>
      <c r="J31" s="9"/>
      <c r="K31" s="9" t="n">
        <f aca="false">(D31+E31+J31+G31+I31)/B31</f>
        <v>11711.1811320755</v>
      </c>
      <c r="L31" s="9" t="n">
        <f aca="false">(F31+H31)/B31</f>
        <v>0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181580.39</v>
      </c>
      <c r="D32" s="9" t="n">
        <v>127596</v>
      </c>
      <c r="E32" s="9" t="n">
        <v>19400</v>
      </c>
      <c r="F32" s="9"/>
      <c r="G32" s="9" t="n">
        <v>12603.39</v>
      </c>
      <c r="H32" s="9"/>
      <c r="I32" s="9" t="n">
        <v>20881</v>
      </c>
      <c r="J32" s="9" t="n">
        <v>1100</v>
      </c>
      <c r="K32" s="9" t="n">
        <f aca="false">(D32+E32+J32+G32+I32)/B32</f>
        <v>12522.7855172414</v>
      </c>
      <c r="L32" s="9" t="n">
        <f aca="false">(F32+H32)/B32</f>
        <v>0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O49"/>
  <printOptions headings="false" gridLines="false" gridLinesSet="true" horizontalCentered="false" verticalCentered="false"/>
  <pageMargins left="0" right="0" top="0.39375" bottom="0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0" colorId="64" zoomScale="118" zoomScaleNormal="118" zoomScalePageLayoutView="100" workbookViewId="0">
      <selection pane="topLeft" activeCell="C50" activeCellId="0" sqref="C50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171977.82</v>
      </c>
      <c r="D2" s="9" t="n">
        <v>88678</v>
      </c>
      <c r="E2" s="9" t="n">
        <v>25200</v>
      </c>
      <c r="F2" s="9"/>
      <c r="G2" s="9" t="n">
        <v>24157.01</v>
      </c>
      <c r="H2" s="9" t="n">
        <v>10185</v>
      </c>
      <c r="I2" s="9" t="n">
        <v>23757.81</v>
      </c>
      <c r="J2" s="9"/>
      <c r="K2" s="9" t="n">
        <f aca="false">(D2+E2+J2+G2+I2)/B2</f>
        <v>16783.4875518672</v>
      </c>
      <c r="L2" s="9" t="n">
        <f aca="false">(F2+H2)/B2</f>
        <v>1056.53526970954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184846.1</v>
      </c>
      <c r="D3" s="9" t="n">
        <v>46562</v>
      </c>
      <c r="E3" s="9" t="n">
        <v>14400</v>
      </c>
      <c r="F3" s="9" t="n">
        <v>101820</v>
      </c>
      <c r="G3" s="9" t="n">
        <v>13191.02</v>
      </c>
      <c r="H3" s="9" t="n">
        <v>3267</v>
      </c>
      <c r="I3" s="9" t="n">
        <v>5606.08</v>
      </c>
      <c r="J3" s="9"/>
      <c r="K3" s="9" t="n">
        <f aca="false">(D3+E3+J3+G3+I3)/B3</f>
        <v>9167.71264367816</v>
      </c>
      <c r="L3" s="9" t="n">
        <f aca="false">(F3+H3)/B3</f>
        <v>12078.9655172414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48314.61</v>
      </c>
      <c r="D4" s="9" t="n">
        <v>24237</v>
      </c>
      <c r="E4" s="9" t="n">
        <v>11750</v>
      </c>
      <c r="F4" s="9"/>
      <c r="G4" s="9" t="n">
        <v>5487.53</v>
      </c>
      <c r="H4" s="9" t="n">
        <v>1234</v>
      </c>
      <c r="I4" s="9" t="n">
        <v>5606.08</v>
      </c>
      <c r="J4" s="9"/>
      <c r="K4" s="9" t="n">
        <f aca="false">(D4+E4+J4+G4+I4)/B4</f>
        <v>7356.3453125</v>
      </c>
      <c r="L4" s="9" t="n">
        <f aca="false">(F4+H4)/B4</f>
        <v>192.8125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356773.54</v>
      </c>
      <c r="D5" s="9" t="n">
        <v>212825</v>
      </c>
      <c r="E5" s="9" t="n">
        <v>48750</v>
      </c>
      <c r="F5" s="9"/>
      <c r="G5" s="9" t="n">
        <v>29631.36</v>
      </c>
      <c r="H5" s="9" t="n">
        <v>12740</v>
      </c>
      <c r="I5" s="9" t="n">
        <v>52827.18</v>
      </c>
      <c r="J5" s="9"/>
      <c r="K5" s="9" t="n">
        <f aca="false">(D5+E5+J5+G5+I5)/B5</f>
        <v>23012.2769230769</v>
      </c>
      <c r="L5" s="9" t="n">
        <f aca="false">(F5+H5)/B5</f>
        <v>852.173913043478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110373.29</v>
      </c>
      <c r="D6" s="9" t="n">
        <v>63949</v>
      </c>
      <c r="E6" s="9" t="n">
        <v>15750</v>
      </c>
      <c r="F6" s="9"/>
      <c r="G6" s="9" t="n">
        <v>14145.53</v>
      </c>
      <c r="H6" s="9" t="n">
        <v>1400</v>
      </c>
      <c r="I6" s="9" t="n">
        <v>15128.76</v>
      </c>
      <c r="J6" s="9"/>
      <c r="K6" s="9" t="n">
        <f aca="false">(D6+E6+J6+G6+I6)/B6</f>
        <v>16765.1215384615</v>
      </c>
      <c r="L6" s="9" t="n">
        <f aca="false">(F6+H6)/B6</f>
        <v>215.384615384615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159890.75</v>
      </c>
      <c r="D7" s="9" t="n">
        <v>79291</v>
      </c>
      <c r="E7" s="9" t="n">
        <v>34855</v>
      </c>
      <c r="F7" s="9"/>
      <c r="G7" s="9" t="n">
        <v>22481.97</v>
      </c>
      <c r="H7" s="9" t="n">
        <v>7085</v>
      </c>
      <c r="I7" s="9" t="n">
        <v>16177.78</v>
      </c>
      <c r="J7" s="9"/>
      <c r="K7" s="9" t="n">
        <f aca="false">(D7+E7+J7+G7+I7)/B7</f>
        <v>14267.5770308123</v>
      </c>
      <c r="L7" s="9" t="n">
        <f aca="false">(F7+H7)/B7</f>
        <v>661.531279178338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156440.93</v>
      </c>
      <c r="D8" s="9" t="n">
        <v>101607</v>
      </c>
      <c r="E8" s="9" t="n">
        <v>23650</v>
      </c>
      <c r="F8" s="9"/>
      <c r="G8" s="9" t="n">
        <v>9866.9</v>
      </c>
      <c r="H8" s="9" t="n">
        <v>2525</v>
      </c>
      <c r="I8" s="9" t="n">
        <v>17882.03</v>
      </c>
      <c r="J8" s="9" t="n">
        <v>910</v>
      </c>
      <c r="K8" s="9" t="n">
        <f aca="false">(D8+E8+J8+G8+I8)/B8</f>
        <v>21317.9958448753</v>
      </c>
      <c r="L8" s="9" t="n">
        <f aca="false">(F8+H8)/B8</f>
        <v>349.722991689751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114299.76</v>
      </c>
      <c r="D9" s="9" t="n">
        <v>48885</v>
      </c>
      <c r="E9" s="9" t="n">
        <v>13970</v>
      </c>
      <c r="F9" s="9"/>
      <c r="G9" s="9" t="n">
        <v>22047.96</v>
      </c>
      <c r="H9" s="9" t="n">
        <v>5937</v>
      </c>
      <c r="I9" s="9" t="n">
        <v>22549.8</v>
      </c>
      <c r="J9" s="9" t="n">
        <v>910</v>
      </c>
      <c r="K9" s="9" t="n">
        <f aca="false">(D9+E9+J9+G9+I9)/B9</f>
        <v>13804.1732484076</v>
      </c>
      <c r="L9" s="9" t="n">
        <f aca="false">(F9+H9)/B9</f>
        <v>756.305732484076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181620.99</v>
      </c>
      <c r="D10" s="9" t="n">
        <v>105117</v>
      </c>
      <c r="E10" s="9" t="n">
        <v>30400</v>
      </c>
      <c r="F10" s="9"/>
      <c r="G10" s="9" t="n">
        <v>16808.45</v>
      </c>
      <c r="H10" s="9" t="n">
        <v>4435</v>
      </c>
      <c r="I10" s="9" t="n">
        <v>24860.54</v>
      </c>
      <c r="J10" s="9"/>
      <c r="K10" s="9" t="n">
        <f aca="false">(D10+E10+J10+G10+I10)/B10</f>
        <v>12839.5644927536</v>
      </c>
      <c r="L10" s="9" t="n">
        <f aca="false">(F10+H10)/B10</f>
        <v>321.376811594203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151631.41</v>
      </c>
      <c r="D11" s="9" t="n">
        <v>95028</v>
      </c>
      <c r="E11" s="9" t="n">
        <v>22600</v>
      </c>
      <c r="F11" s="9"/>
      <c r="G11" s="9" t="n">
        <v>8011.97</v>
      </c>
      <c r="H11" s="9" t="n">
        <v>8790</v>
      </c>
      <c r="I11" s="9" t="n">
        <v>17201.44</v>
      </c>
      <c r="J11" s="9"/>
      <c r="K11" s="9" t="n">
        <f aca="false">(D11+E11+J11+G11+I11)/B11</f>
        <v>18794.9223684211</v>
      </c>
      <c r="L11" s="9" t="n">
        <f aca="false">(F11+H11)/B11</f>
        <v>1156.57894736842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196203.95</v>
      </c>
      <c r="D12" s="9" t="n">
        <v>113016</v>
      </c>
      <c r="E12" s="9" t="n">
        <v>45200</v>
      </c>
      <c r="F12" s="9"/>
      <c r="G12" s="9" t="n">
        <v>13554.98</v>
      </c>
      <c r="H12" s="9" t="n">
        <v>4785</v>
      </c>
      <c r="I12" s="9" t="n">
        <v>19647.97</v>
      </c>
      <c r="J12" s="9"/>
      <c r="K12" s="9" t="n">
        <f aca="false">(D12+E12+J12+G12+I12)/B12</f>
        <v>13672.7821428571</v>
      </c>
      <c r="L12" s="9" t="n">
        <f aca="false">(F12+H12)/B12</f>
        <v>341.785714285714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63923.61</v>
      </c>
      <c r="D13" s="9" t="n">
        <v>36892</v>
      </c>
      <c r="E13" s="9" t="n">
        <v>11665</v>
      </c>
      <c r="F13" s="9"/>
      <c r="G13" s="9" t="n">
        <v>6700.93</v>
      </c>
      <c r="H13" s="9" t="n">
        <v>4024</v>
      </c>
      <c r="I13" s="9" t="n">
        <v>4641.68</v>
      </c>
      <c r="J13" s="9"/>
      <c r="K13" s="9" t="n">
        <f aca="false">(D13+E13+J13+G13+I13)/B13</f>
        <v>10050.2701342282</v>
      </c>
      <c r="L13" s="9" t="n">
        <f aca="false">(F13+H13)/B13</f>
        <v>675.167785234899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96402.34</v>
      </c>
      <c r="D14" s="9" t="n">
        <v>58621</v>
      </c>
      <c r="E14" s="9" t="n">
        <v>19224</v>
      </c>
      <c r="F14" s="9"/>
      <c r="G14" s="9" t="n">
        <v>9986.11</v>
      </c>
      <c r="H14" s="9" t="n">
        <v>3472</v>
      </c>
      <c r="I14" s="9" t="n">
        <v>5099.23</v>
      </c>
      <c r="J14" s="9"/>
      <c r="K14" s="9" t="n">
        <f aca="false">(D14+E14+J14+G14+I14)/B14</f>
        <v>21120.5318181818</v>
      </c>
      <c r="L14" s="9" t="n">
        <f aca="false">(F14+H14)/B14</f>
        <v>789.090909090909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107093.87</v>
      </c>
      <c r="D15" s="9" t="n">
        <v>63949</v>
      </c>
      <c r="E15" s="9" t="n">
        <v>16000</v>
      </c>
      <c r="F15" s="9"/>
      <c r="G15" s="9" t="n">
        <v>10824.71</v>
      </c>
      <c r="H15" s="9" t="n">
        <v>5016</v>
      </c>
      <c r="I15" s="9" t="n">
        <v>11304.16</v>
      </c>
      <c r="J15" s="9"/>
      <c r="K15" s="9" t="n">
        <f aca="false">(D15+E15+J15+G15+I15)/B15</f>
        <v>19151.5703564728</v>
      </c>
      <c r="L15" s="9" t="n">
        <f aca="false">(F15+H15)/B15</f>
        <v>941.08818011257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204260.75</v>
      </c>
      <c r="D16" s="9" t="n">
        <v>133736</v>
      </c>
      <c r="E16" s="9" t="n">
        <v>28650</v>
      </c>
      <c r="F16" s="9"/>
      <c r="G16" s="9" t="n">
        <v>6755.76</v>
      </c>
      <c r="H16" s="9" t="n">
        <v>4102</v>
      </c>
      <c r="I16" s="9" t="n">
        <v>31016.99</v>
      </c>
      <c r="J16" s="9"/>
      <c r="K16" s="9" t="n">
        <f aca="false">(D16+E16+J16+G16+I16)/B16</f>
        <v>19432.8883495146</v>
      </c>
      <c r="L16" s="9" t="n">
        <f aca="false">(F16+H16)/B16</f>
        <v>398.252427184466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89376.57</v>
      </c>
      <c r="D17" s="9" t="n">
        <v>46057</v>
      </c>
      <c r="E17" s="9" t="n">
        <v>14230</v>
      </c>
      <c r="F17" s="9"/>
      <c r="G17" s="9" t="n">
        <v>14528.2</v>
      </c>
      <c r="H17" s="9" t="n">
        <v>2907</v>
      </c>
      <c r="I17" s="9" t="n">
        <v>11654.37</v>
      </c>
      <c r="J17" s="9"/>
      <c r="K17" s="9" t="n">
        <f aca="false">(D17+E17+J17+G17+I17)/B17</f>
        <v>14411.595</v>
      </c>
      <c r="L17" s="9" t="n">
        <f aca="false">(F17+H17)/B17</f>
        <v>484.5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214185.87</v>
      </c>
      <c r="D18" s="9" t="n">
        <v>128268</v>
      </c>
      <c r="E18" s="9" t="n">
        <v>35811</v>
      </c>
      <c r="F18" s="9"/>
      <c r="G18" s="9" t="n">
        <v>15694.35</v>
      </c>
      <c r="H18" s="9" t="n">
        <v>7345</v>
      </c>
      <c r="I18" s="9" t="n">
        <v>23687.52</v>
      </c>
      <c r="J18" s="9" t="n">
        <v>3380</v>
      </c>
      <c r="K18" s="9" t="n">
        <f aca="false">(D18+E18+J18+G18+I18)/B18</f>
        <v>22004.3478723404</v>
      </c>
      <c r="L18" s="9" t="n">
        <f aca="false">(F18+H18)/B18</f>
        <v>781.382978723404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107646.53</v>
      </c>
      <c r="D19" s="9" t="n">
        <v>60193</v>
      </c>
      <c r="E19" s="9" t="n">
        <v>21260</v>
      </c>
      <c r="F19" s="9"/>
      <c r="G19" s="9" t="n">
        <v>11174.99</v>
      </c>
      <c r="H19" s="9" t="n">
        <v>3580</v>
      </c>
      <c r="I19" s="9" t="n">
        <v>11438.54</v>
      </c>
      <c r="J19" s="9"/>
      <c r="K19" s="9" t="n">
        <f aca="false">(D19+E19+J19+G19+I19)/B19</f>
        <v>17344.4216666667</v>
      </c>
      <c r="L19" s="9" t="n">
        <f aca="false">(F19+H19)/B19</f>
        <v>596.666666666667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54482.85</v>
      </c>
      <c r="D20" s="9" t="n">
        <v>18490</v>
      </c>
      <c r="E20" s="9" t="n">
        <v>3080</v>
      </c>
      <c r="F20" s="9"/>
      <c r="G20" s="9" t="n">
        <v>17072.69</v>
      </c>
      <c r="H20" s="9" t="n">
        <v>4363</v>
      </c>
      <c r="I20" s="9" t="n">
        <v>11477.16</v>
      </c>
      <c r="J20" s="9"/>
      <c r="K20" s="9" t="n">
        <f aca="false">(D20+E20+J20+G20+I20)/B20</f>
        <v>8949.97321428572</v>
      </c>
      <c r="L20" s="9" t="n">
        <f aca="false">(F20+H20)/B20</f>
        <v>779.107142857143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97485.88</v>
      </c>
      <c r="D21" s="9" t="n">
        <v>53800</v>
      </c>
      <c r="E21" s="9" t="n">
        <v>13990</v>
      </c>
      <c r="F21" s="9"/>
      <c r="G21" s="9" t="n">
        <v>17693.22</v>
      </c>
      <c r="H21" s="9" t="n">
        <v>3189</v>
      </c>
      <c r="I21" s="9" t="n">
        <v>8813.66</v>
      </c>
      <c r="J21" s="9"/>
      <c r="K21" s="9" t="n">
        <f aca="false">(D21+E21+J21+G21+I21)/B21</f>
        <v>12742.8216216216</v>
      </c>
      <c r="L21" s="9" t="n">
        <f aca="false">(F21+H21)/B21</f>
        <v>430.945945945946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134941.35</v>
      </c>
      <c r="D22" s="9" t="n">
        <v>79515</v>
      </c>
      <c r="E22" s="9" t="n">
        <v>19500</v>
      </c>
      <c r="F22" s="9"/>
      <c r="G22" s="9" t="n">
        <v>16310.23</v>
      </c>
      <c r="H22" s="9" t="n">
        <v>7037</v>
      </c>
      <c r="I22" s="9" t="n">
        <v>12059.12</v>
      </c>
      <c r="J22" s="9" t="n">
        <v>520</v>
      </c>
      <c r="K22" s="9" t="n">
        <f aca="false">(D22+E22+J22+G22+I22)/B22</f>
        <v>15541.2332928311</v>
      </c>
      <c r="L22" s="9" t="n">
        <f aca="false">(F22+H22)/B22</f>
        <v>855.042527339004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41569.31</v>
      </c>
      <c r="D23" s="9" t="n">
        <v>29670</v>
      </c>
      <c r="E23" s="9" t="n">
        <v>4725</v>
      </c>
      <c r="F23" s="9"/>
      <c r="G23" s="9" t="n">
        <v>1572.13</v>
      </c>
      <c r="H23" s="9" t="n">
        <v>5160</v>
      </c>
      <c r="I23" s="9" t="n">
        <v>442.18</v>
      </c>
      <c r="J23" s="9"/>
      <c r="K23" s="9" t="n">
        <f aca="false">(D23+E23+J23+G23+I23)/B23</f>
        <v>6869.68113207547</v>
      </c>
      <c r="L23" s="9" t="n">
        <f aca="false">(F23+H23)/B23</f>
        <v>973.584905660377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406936.98</v>
      </c>
      <c r="D24" s="9" t="n">
        <v>199168</v>
      </c>
      <c r="E24" s="9" t="n">
        <v>63530</v>
      </c>
      <c r="F24" s="20" t="n">
        <v>84600</v>
      </c>
      <c r="G24" s="9" t="n">
        <v>28858.19</v>
      </c>
      <c r="H24" s="9" t="n">
        <v>9704</v>
      </c>
      <c r="I24" s="9" t="n">
        <v>21076.79</v>
      </c>
      <c r="J24" s="9"/>
      <c r="K24" s="9" t="n">
        <f aca="false">(D24+E24+J24+G24+I24)/B24</f>
        <v>12555.5413654618</v>
      </c>
      <c r="L24" s="9" t="n">
        <f aca="false">(F24+H24)/B24</f>
        <v>3787.30923694779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168196.33</v>
      </c>
      <c r="D25" s="9" t="n">
        <v>81382</v>
      </c>
      <c r="E25" s="9" t="n">
        <v>40140</v>
      </c>
      <c r="F25" s="9"/>
      <c r="G25" s="9" t="n">
        <v>21191.22</v>
      </c>
      <c r="H25" s="9" t="n">
        <v>5000</v>
      </c>
      <c r="I25" s="9" t="n">
        <v>20483.11</v>
      </c>
      <c r="J25" s="9"/>
      <c r="K25" s="9" t="n">
        <f aca="false">(D25+E25+J25+G25+I25)/B25</f>
        <v>15041.13640553</v>
      </c>
      <c r="L25" s="9" t="n">
        <f aca="false">(F25+H25)/B25</f>
        <v>460.829493087558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38017.64</v>
      </c>
      <c r="D26" s="9" t="n">
        <v>14515</v>
      </c>
      <c r="E26" s="9" t="n">
        <v>6925</v>
      </c>
      <c r="F26" s="9"/>
      <c r="G26" s="9" t="n">
        <v>7362.09</v>
      </c>
      <c r="H26" s="9" t="n">
        <v>2500</v>
      </c>
      <c r="I26" s="9" t="n">
        <v>6715.55</v>
      </c>
      <c r="J26" s="9"/>
      <c r="K26" s="9" t="n">
        <f aca="false">(D26+E26+J26+G26+I26)/B26</f>
        <v>10176.9742120344</v>
      </c>
      <c r="L26" s="9" t="n">
        <f aca="false">(F26+H26)/B26</f>
        <v>716.332378223496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78297.31</v>
      </c>
      <c r="D27" s="9" t="n">
        <v>48350</v>
      </c>
      <c r="E27" s="9" t="n">
        <v>12370</v>
      </c>
      <c r="F27" s="9"/>
      <c r="G27" s="9" t="n">
        <v>7811.44</v>
      </c>
      <c r="H27" s="9" t="n">
        <v>1950</v>
      </c>
      <c r="I27" s="9" t="n">
        <v>7815.87</v>
      </c>
      <c r="J27" s="9"/>
      <c r="K27" s="9" t="n">
        <f aca="false">(D27+E27+J27+G27+I27)/B27</f>
        <v>13756.2720720721</v>
      </c>
      <c r="L27" s="9" t="n">
        <f aca="false">(F27+H27)/B27</f>
        <v>351.351351351351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93360.89</v>
      </c>
      <c r="D28" s="9" t="n">
        <v>57100</v>
      </c>
      <c r="E28" s="9" t="n">
        <v>17790</v>
      </c>
      <c r="F28" s="9"/>
      <c r="G28" s="9" t="n">
        <v>5234.35</v>
      </c>
      <c r="H28" s="9" t="n">
        <v>5950</v>
      </c>
      <c r="I28" s="9" t="n">
        <v>7286.54</v>
      </c>
      <c r="J28" s="9"/>
      <c r="K28" s="9" t="n">
        <f aca="false">(D28+E28+J28+G28+I28)/B28</f>
        <v>14520.0813953488</v>
      </c>
      <c r="L28" s="9" t="n">
        <f aca="false">(F28+H28)/B28</f>
        <v>988.372093023256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117619.1</v>
      </c>
      <c r="D29" s="9" t="n">
        <v>76501</v>
      </c>
      <c r="E29" s="9" t="n">
        <v>16100</v>
      </c>
      <c r="F29" s="9"/>
      <c r="G29" s="9" t="n">
        <v>11278.13</v>
      </c>
      <c r="H29" s="9" t="n">
        <v>1879</v>
      </c>
      <c r="I29" s="9" t="n">
        <v>11860.97</v>
      </c>
      <c r="J29" s="9"/>
      <c r="K29" s="9" t="n">
        <f aca="false">(D29+E29+J29+G29+I29)/B29</f>
        <v>10064.3565217391</v>
      </c>
      <c r="L29" s="9" t="n">
        <f aca="false">(F29+H29)/B29</f>
        <v>163.391304347826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69312.46</v>
      </c>
      <c r="D30" s="26" t="n">
        <v>30826</v>
      </c>
      <c r="E30" s="9" t="n">
        <v>16540</v>
      </c>
      <c r="F30" s="9"/>
      <c r="G30" s="9" t="n">
        <v>8102.38</v>
      </c>
      <c r="H30" s="9" t="n">
        <v>566</v>
      </c>
      <c r="I30" s="9" t="n">
        <v>13278.08</v>
      </c>
      <c r="J30" s="9"/>
      <c r="K30" s="9" t="n">
        <f aca="false">(D30+E30+J30+G30+I30)/B30</f>
        <v>11088.1387096774</v>
      </c>
      <c r="L30" s="9" t="n">
        <f aca="false">(F30+H30)/B30</f>
        <v>91.2903225806452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68499.68</v>
      </c>
      <c r="D31" s="9" t="n">
        <v>45100</v>
      </c>
      <c r="E31" s="9" t="n">
        <v>6000</v>
      </c>
      <c r="F31" s="9"/>
      <c r="G31" s="9" t="n">
        <v>10200.08</v>
      </c>
      <c r="H31" s="9" t="n">
        <v>840</v>
      </c>
      <c r="I31" s="9" t="n">
        <v>6359.6</v>
      </c>
      <c r="J31" s="9"/>
      <c r="K31" s="9" t="n">
        <f aca="false">(D31+E31+J31+G31+I31)/B31</f>
        <v>12765.9773584906</v>
      </c>
      <c r="L31" s="9" t="n">
        <f aca="false">(F31+H31)/B31</f>
        <v>158.490566037736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176874.05</v>
      </c>
      <c r="D32" s="9" t="n">
        <v>99561</v>
      </c>
      <c r="E32" s="9" t="n">
        <v>28620</v>
      </c>
      <c r="F32" s="9" t="n">
        <v>7500</v>
      </c>
      <c r="G32" s="9" t="n">
        <v>12603.39</v>
      </c>
      <c r="H32" s="9" t="n">
        <v>5070</v>
      </c>
      <c r="I32" s="9" t="n">
        <v>23519.66</v>
      </c>
      <c r="J32" s="9"/>
      <c r="K32" s="9" t="n">
        <f aca="false">(D32+E32+J32+G32+I32)/B32</f>
        <v>11331.3137931034</v>
      </c>
      <c r="L32" s="9" t="n">
        <f aca="false">(F32+H32)/B32</f>
        <v>866.896551724138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P49"/>
  <printOptions headings="false" gridLines="false" gridLinesSet="true" horizontalCentered="false" verticalCentered="false"/>
  <pageMargins left="0" right="0" top="0.747916666666667" bottom="0.747916666666667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pane xSplit="0" ySplit="7" topLeftCell="A46" activePane="bottomLeft" state="frozen"/>
      <selection pane="topLeft" activeCell="A1" activeCellId="0" sqref="A1"/>
      <selection pane="bottomLeft" activeCell="C50" activeCellId="0" sqref="C50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147742.82</v>
      </c>
      <c r="D2" s="9" t="n">
        <v>72745</v>
      </c>
      <c r="E2" s="9" t="n">
        <v>25200</v>
      </c>
      <c r="F2" s="9"/>
      <c r="G2" s="9" t="n">
        <v>24157.01</v>
      </c>
      <c r="H2" s="9" t="n">
        <v>1883</v>
      </c>
      <c r="I2" s="9" t="n">
        <v>23757.81</v>
      </c>
      <c r="J2" s="9"/>
      <c r="K2" s="9" t="n">
        <f aca="false">(D2+E2+J2+G2+I2)/B2</f>
        <v>15130.6867219917</v>
      </c>
      <c r="L2" s="9" t="n">
        <f aca="false">(F2+H2)/B2</f>
        <v>195.331950207469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87665.1</v>
      </c>
      <c r="D3" s="9" t="n">
        <v>55445</v>
      </c>
      <c r="E3" s="9" t="n">
        <v>12720</v>
      </c>
      <c r="F3" s="9"/>
      <c r="G3" s="9" t="n">
        <v>13191.02</v>
      </c>
      <c r="H3" s="9" t="n">
        <v>703</v>
      </c>
      <c r="I3" s="9" t="n">
        <v>5606.08</v>
      </c>
      <c r="J3" s="9"/>
      <c r="K3" s="9" t="n">
        <f aca="false">(D3+E3+J3+G3+I3)/B3</f>
        <v>9995.64367816092</v>
      </c>
      <c r="L3" s="9" t="n">
        <f aca="false">(F3+H3)/B3</f>
        <v>80.8045977011494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50370.61</v>
      </c>
      <c r="D4" s="9" t="n">
        <v>26695</v>
      </c>
      <c r="E4" s="9" t="n">
        <v>11750</v>
      </c>
      <c r="F4" s="9"/>
      <c r="G4" s="9" t="n">
        <v>5487.53</v>
      </c>
      <c r="H4" s="9" t="n">
        <v>832</v>
      </c>
      <c r="I4" s="9" t="n">
        <v>5606.08</v>
      </c>
      <c r="J4" s="9"/>
      <c r="K4" s="9" t="n">
        <f aca="false">(D4+E4+J4+G4+I4)/B4</f>
        <v>7740.4078125</v>
      </c>
      <c r="L4" s="9" t="n">
        <f aca="false">(F4+H4)/B4</f>
        <v>130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312778.54</v>
      </c>
      <c r="D5" s="9" t="n">
        <v>180762</v>
      </c>
      <c r="E5" s="9" t="n">
        <v>48750</v>
      </c>
      <c r="F5" s="9"/>
      <c r="G5" s="9" t="n">
        <v>29631.36</v>
      </c>
      <c r="H5" s="9" t="n">
        <v>808</v>
      </c>
      <c r="I5" s="9" t="n">
        <v>52827.18</v>
      </c>
      <c r="J5" s="9"/>
      <c r="K5" s="9" t="n">
        <f aca="false">(D5+E5+J5+G5+I5)/B5</f>
        <v>20867.5946488294</v>
      </c>
      <c r="L5" s="9" t="n">
        <f aca="false">(F5+H5)/B5</f>
        <v>54.0468227424749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100564.29</v>
      </c>
      <c r="D6" s="9" t="n">
        <v>54295</v>
      </c>
      <c r="E6" s="9" t="n">
        <v>15750</v>
      </c>
      <c r="F6" s="9"/>
      <c r="G6" s="9" t="n">
        <v>14145.53</v>
      </c>
      <c r="H6" s="9" t="n">
        <v>1245</v>
      </c>
      <c r="I6" s="9" t="n">
        <v>15128.76</v>
      </c>
      <c r="J6" s="9"/>
      <c r="K6" s="9" t="n">
        <f aca="false">(D6+E6+J6+G6+I6)/B6</f>
        <v>15279.8907692308</v>
      </c>
      <c r="L6" s="9" t="n">
        <f aca="false">(F6+H6)/B6</f>
        <v>191.538461538462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297735.75</v>
      </c>
      <c r="D7" s="9" t="n">
        <v>57815</v>
      </c>
      <c r="E7" s="9" t="n">
        <v>34565</v>
      </c>
      <c r="F7" s="9"/>
      <c r="G7" s="9" t="n">
        <v>22481.97</v>
      </c>
      <c r="H7" s="9" t="n">
        <v>166696</v>
      </c>
      <c r="I7" s="9" t="n">
        <v>16177.78</v>
      </c>
      <c r="J7" s="9"/>
      <c r="K7" s="9" t="n">
        <f aca="false">(D7+E7+J7+G7+I7)/B7</f>
        <v>12235.2707749767</v>
      </c>
      <c r="L7" s="9" t="n">
        <f aca="false">(F7+H7)/B7</f>
        <v>15564.5191409897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137808.93</v>
      </c>
      <c r="D8" s="9" t="n">
        <v>89418</v>
      </c>
      <c r="E8" s="9" t="n">
        <v>20610</v>
      </c>
      <c r="F8" s="9"/>
      <c r="G8" s="9" t="n">
        <v>9866.9</v>
      </c>
      <c r="H8" s="9" t="n">
        <v>32</v>
      </c>
      <c r="I8" s="9" t="n">
        <v>17882.03</v>
      </c>
      <c r="J8" s="9"/>
      <c r="K8" s="9" t="n">
        <f aca="false">(D8+E8+J8+G8+I8)/B8</f>
        <v>19082.6772853186</v>
      </c>
      <c r="L8" s="9" t="n">
        <f aca="false">(F8+H8)/B8</f>
        <v>4.43213296398892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94841.76</v>
      </c>
      <c r="D9" s="9" t="n">
        <v>37439</v>
      </c>
      <c r="E9" s="9" t="n">
        <v>10320</v>
      </c>
      <c r="F9" s="9"/>
      <c r="G9" s="9" t="n">
        <v>22047.96</v>
      </c>
      <c r="H9" s="9"/>
      <c r="I9" s="9" t="n">
        <v>22549.8</v>
      </c>
      <c r="J9" s="9" t="n">
        <v>2485</v>
      </c>
      <c r="K9" s="9" t="n">
        <f aca="false">(D9+E9+J9+G9+I9)/B9</f>
        <v>12081.752866242</v>
      </c>
      <c r="L9" s="9" t="n">
        <f aca="false">(F9+H9)/B9</f>
        <v>0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187978.99</v>
      </c>
      <c r="D10" s="9" t="n">
        <v>115910</v>
      </c>
      <c r="E10" s="9" t="n">
        <v>30400</v>
      </c>
      <c r="F10" s="9"/>
      <c r="G10" s="9" t="n">
        <v>16808.45</v>
      </c>
      <c r="H10" s="9"/>
      <c r="I10" s="9" t="n">
        <v>24860.54</v>
      </c>
      <c r="J10" s="9"/>
      <c r="K10" s="9" t="n">
        <f aca="false">(D10+E10+J10+G10+I10)/B10</f>
        <v>13621.665942029</v>
      </c>
      <c r="L10" s="9" t="n">
        <f aca="false">(F10+H10)/B10</f>
        <v>0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146263.41</v>
      </c>
      <c r="D11" s="9" t="n">
        <v>98450</v>
      </c>
      <c r="E11" s="9" t="n">
        <v>22600</v>
      </c>
      <c r="F11" s="9"/>
      <c r="G11" s="9" t="n">
        <v>8011.97</v>
      </c>
      <c r="H11" s="9"/>
      <c r="I11" s="9" t="n">
        <v>17201.44</v>
      </c>
      <c r="J11" s="9"/>
      <c r="K11" s="9" t="n">
        <f aca="false">(D11+E11+J11+G11+I11)/B11</f>
        <v>19245.1855263158</v>
      </c>
      <c r="L11" s="9" t="n">
        <f aca="false">(F11+H11)/B11</f>
        <v>0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185472.95</v>
      </c>
      <c r="D12" s="9" t="n">
        <v>99281</v>
      </c>
      <c r="E12" s="9" t="n">
        <v>49940</v>
      </c>
      <c r="F12" s="9"/>
      <c r="G12" s="9" t="n">
        <v>13554.98</v>
      </c>
      <c r="H12" s="9" t="n">
        <v>3049</v>
      </c>
      <c r="I12" s="9" t="n">
        <v>19647.97</v>
      </c>
      <c r="J12" s="9"/>
      <c r="K12" s="9" t="n">
        <f aca="false">(D12+E12+J12+G12+I12)/B12</f>
        <v>13030.2821428571</v>
      </c>
      <c r="L12" s="9" t="n">
        <f aca="false">(F12+H12)/B12</f>
        <v>217.785714285714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52634.61</v>
      </c>
      <c r="D13" s="9" t="n">
        <v>29965</v>
      </c>
      <c r="E13" s="9" t="n">
        <v>10420</v>
      </c>
      <c r="F13" s="9"/>
      <c r="G13" s="9" t="n">
        <v>6700.93</v>
      </c>
      <c r="H13" s="9" t="n">
        <v>907</v>
      </c>
      <c r="I13" s="9" t="n">
        <v>4641.68</v>
      </c>
      <c r="J13" s="9"/>
      <c r="K13" s="9" t="n">
        <f aca="false">(D13+E13+J13+G13+I13)/B13</f>
        <v>8679.12919463087</v>
      </c>
      <c r="L13" s="9" t="n">
        <f aca="false">(F13+H13)/B13</f>
        <v>152.181208053691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85732.34</v>
      </c>
      <c r="D14" s="9" t="n">
        <v>49597</v>
      </c>
      <c r="E14" s="9" t="n">
        <v>19350</v>
      </c>
      <c r="F14" s="9"/>
      <c r="G14" s="9" t="n">
        <v>9986.11</v>
      </c>
      <c r="H14" s="9" t="n">
        <v>1700</v>
      </c>
      <c r="I14" s="9" t="n">
        <v>5099.23</v>
      </c>
      <c r="J14" s="9"/>
      <c r="K14" s="9" t="n">
        <f aca="false">(D14+E14+J14+G14+I14)/B14</f>
        <v>19098.2590909091</v>
      </c>
      <c r="L14" s="9" t="n">
        <f aca="false">(F14+H14)/B14</f>
        <v>386.363636363636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131510.87</v>
      </c>
      <c r="D15" s="9" t="n">
        <v>91546</v>
      </c>
      <c r="E15" s="9" t="n">
        <v>16000</v>
      </c>
      <c r="F15" s="9"/>
      <c r="G15" s="9" t="n">
        <v>10824.71</v>
      </c>
      <c r="H15" s="9" t="n">
        <v>1836</v>
      </c>
      <c r="I15" s="9" t="n">
        <v>11304.16</v>
      </c>
      <c r="J15" s="9"/>
      <c r="K15" s="9" t="n">
        <f aca="false">(D15+E15+J15+G15+I15)/B15</f>
        <v>24329.243902439</v>
      </c>
      <c r="L15" s="9" t="n">
        <f aca="false">(F15+H15)/B15</f>
        <v>344.465290806754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184904.75</v>
      </c>
      <c r="D16" s="9" t="n">
        <v>119882</v>
      </c>
      <c r="E16" s="9" t="n">
        <v>27250</v>
      </c>
      <c r="F16" s="9"/>
      <c r="G16" s="9" t="n">
        <v>6755.76</v>
      </c>
      <c r="H16" s="9"/>
      <c r="I16" s="9" t="n">
        <v>31016.99</v>
      </c>
      <c r="J16" s="9"/>
      <c r="K16" s="9" t="n">
        <f aca="false">(D16+E16+J16+G16+I16)/B16</f>
        <v>17951.9174757282</v>
      </c>
      <c r="L16" s="9" t="n">
        <f aca="false">(F16+H16)/B16</f>
        <v>0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80126.57</v>
      </c>
      <c r="D17" s="9" t="n">
        <v>43144</v>
      </c>
      <c r="E17" s="9" t="n">
        <v>10800</v>
      </c>
      <c r="F17" s="9"/>
      <c r="G17" s="9" t="n">
        <v>14528.2</v>
      </c>
      <c r="H17" s="9"/>
      <c r="I17" s="9" t="n">
        <v>11654.37</v>
      </c>
      <c r="J17" s="9"/>
      <c r="K17" s="9" t="n">
        <f aca="false">(D17+E17+J17+G17+I17)/B17</f>
        <v>13354.4283333333</v>
      </c>
      <c r="L17" s="9" t="n">
        <f aca="false">(F17+H17)/B17</f>
        <v>0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197171.87</v>
      </c>
      <c r="D18" s="9" t="n">
        <v>121016</v>
      </c>
      <c r="E18" s="9" t="n">
        <v>36774</v>
      </c>
      <c r="F18" s="9"/>
      <c r="G18" s="9" t="n">
        <v>15694.35</v>
      </c>
      <c r="H18" s="9"/>
      <c r="I18" s="9" t="n">
        <v>23687.52</v>
      </c>
      <c r="J18" s="9"/>
      <c r="K18" s="9" t="n">
        <f aca="false">(D18+E18+J18+G18+I18)/B18</f>
        <v>20975.7308510638</v>
      </c>
      <c r="L18" s="9" t="n">
        <f aca="false">(F18+H18)/B18</f>
        <v>0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101723.53</v>
      </c>
      <c r="D19" s="9" t="n">
        <v>57410</v>
      </c>
      <c r="E19" s="9" t="n">
        <v>21700</v>
      </c>
      <c r="F19" s="9"/>
      <c r="G19" s="9" t="n">
        <v>11174.99</v>
      </c>
      <c r="H19" s="9"/>
      <c r="I19" s="9" t="n">
        <v>11438.54</v>
      </c>
      <c r="J19" s="9"/>
      <c r="K19" s="9" t="n">
        <f aca="false">(D19+E19+J19+G19+I19)/B19</f>
        <v>16953.9216666667</v>
      </c>
      <c r="L19" s="9" t="n">
        <f aca="false">(F19+H19)/B19</f>
        <v>0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48884.85</v>
      </c>
      <c r="D20" s="9" t="n">
        <v>17255</v>
      </c>
      <c r="E20" s="9" t="n">
        <v>3080</v>
      </c>
      <c r="F20" s="9"/>
      <c r="G20" s="9" t="n">
        <v>17072.69</v>
      </c>
      <c r="H20" s="9"/>
      <c r="I20" s="9" t="n">
        <v>11477.16</v>
      </c>
      <c r="J20" s="9"/>
      <c r="K20" s="9" t="n">
        <f aca="false">(D20+E20+J20+G20+I20)/B20</f>
        <v>8729.4375</v>
      </c>
      <c r="L20" s="9" t="n">
        <f aca="false">(F20+H20)/B20</f>
        <v>0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80382.88</v>
      </c>
      <c r="D21" s="9" t="n">
        <v>40030</v>
      </c>
      <c r="E21" s="9" t="n">
        <v>13750</v>
      </c>
      <c r="F21" s="9"/>
      <c r="G21" s="9" t="n">
        <v>17693.22</v>
      </c>
      <c r="H21" s="9" t="n">
        <v>96</v>
      </c>
      <c r="I21" s="9" t="n">
        <v>8813.66</v>
      </c>
      <c r="J21" s="9"/>
      <c r="K21" s="9" t="n">
        <f aca="false">(D21+E21+J21+G21+I21)/B21</f>
        <v>10849.5783783784</v>
      </c>
      <c r="L21" s="9" t="n">
        <f aca="false">(F21+H21)/B21</f>
        <v>12.972972972973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134254.35</v>
      </c>
      <c r="D22" s="9" t="n">
        <v>81235</v>
      </c>
      <c r="E22" s="9" t="n">
        <v>21300</v>
      </c>
      <c r="F22" s="9"/>
      <c r="G22" s="9" t="n">
        <v>16310.23</v>
      </c>
      <c r="H22" s="9" t="n">
        <v>3350</v>
      </c>
      <c r="I22" s="9" t="n">
        <v>12059.12</v>
      </c>
      <c r="J22" s="9"/>
      <c r="K22" s="9" t="n">
        <f aca="false">(D22+E22+J22+G22+I22)/B22</f>
        <v>15905.7533414338</v>
      </c>
      <c r="L22" s="9" t="n">
        <f aca="false">(F22+H22)/B22</f>
        <v>407.047387606318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37089.31</v>
      </c>
      <c r="D23" s="9" t="n">
        <v>31250</v>
      </c>
      <c r="E23" s="9" t="n">
        <v>3825</v>
      </c>
      <c r="F23" s="9"/>
      <c r="G23" s="9" t="n">
        <v>1572.13</v>
      </c>
      <c r="H23" s="9"/>
      <c r="I23" s="9" t="n">
        <v>442.18</v>
      </c>
      <c r="J23" s="9"/>
      <c r="K23" s="9" t="n">
        <f aca="false">(D23+E23+J23+G23+I23)/B23</f>
        <v>6997.98301886792</v>
      </c>
      <c r="L23" s="9" t="n">
        <f aca="false">(F23+H23)/B23</f>
        <v>0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279883.98</v>
      </c>
      <c r="D24" s="9" t="n">
        <v>167189</v>
      </c>
      <c r="E24" s="9" t="n">
        <v>61395</v>
      </c>
      <c r="F24" s="20"/>
      <c r="G24" s="9" t="n">
        <v>28858.19</v>
      </c>
      <c r="H24" s="9"/>
      <c r="I24" s="9" t="n">
        <v>21076.79</v>
      </c>
      <c r="J24" s="9" t="n">
        <v>1365</v>
      </c>
      <c r="K24" s="9" t="n">
        <f aca="false">(D24+E24+J24+G24+I24)/B24</f>
        <v>11240.3204819277</v>
      </c>
      <c r="L24" s="9" t="n">
        <f aca="false">(F24+H24)/B24</f>
        <v>0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156304.33</v>
      </c>
      <c r="D25" s="9" t="n">
        <v>73045</v>
      </c>
      <c r="E25" s="9" t="n">
        <v>41585</v>
      </c>
      <c r="F25" s="9"/>
      <c r="G25" s="9" t="n">
        <v>21191.22</v>
      </c>
      <c r="H25" s="9"/>
      <c r="I25" s="9" t="n">
        <v>20483.11</v>
      </c>
      <c r="J25" s="9"/>
      <c r="K25" s="9" t="n">
        <f aca="false">(D25+E25+J25+G25+I25)/B25</f>
        <v>14405.9290322581</v>
      </c>
      <c r="L25" s="9" t="n">
        <f aca="false">(F25+H25)/B25</f>
        <v>0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35442.64</v>
      </c>
      <c r="D26" s="9" t="n">
        <v>14425</v>
      </c>
      <c r="E26" s="9" t="n">
        <v>6940</v>
      </c>
      <c r="F26" s="9"/>
      <c r="G26" s="9" t="n">
        <v>7362.09</v>
      </c>
      <c r="H26" s="9"/>
      <c r="I26" s="9" t="n">
        <v>6715.55</v>
      </c>
      <c r="J26" s="9"/>
      <c r="K26" s="9" t="n">
        <f aca="false">(D26+E26+J26+G26+I26)/B26</f>
        <v>10155.4842406877</v>
      </c>
      <c r="L26" s="9" t="n">
        <f aca="false">(F26+H26)/B26</f>
        <v>0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71863.31</v>
      </c>
      <c r="D27" s="9" t="n">
        <v>43946</v>
      </c>
      <c r="E27" s="9" t="n">
        <v>12290</v>
      </c>
      <c r="F27" s="9"/>
      <c r="G27" s="9" t="n">
        <v>7811.44</v>
      </c>
      <c r="H27" s="9"/>
      <c r="I27" s="9" t="n">
        <v>7815.87</v>
      </c>
      <c r="J27" s="9"/>
      <c r="K27" s="9" t="n">
        <f aca="false">(D27+E27+J27+G27+I27)/B27</f>
        <v>12948.3441441441</v>
      </c>
      <c r="L27" s="9" t="n">
        <f aca="false">(F27+H27)/B27</f>
        <v>0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96398.89</v>
      </c>
      <c r="D28" s="9" t="n">
        <v>48146</v>
      </c>
      <c r="E28" s="9" t="n">
        <v>15860</v>
      </c>
      <c r="F28" s="9"/>
      <c r="G28" s="9" t="n">
        <v>5234.35</v>
      </c>
      <c r="H28" s="9" t="n">
        <v>19872</v>
      </c>
      <c r="I28" s="9" t="n">
        <v>7286.54</v>
      </c>
      <c r="J28" s="9"/>
      <c r="K28" s="9" t="n">
        <f aca="false">(D28+E28+J28+G28+I28)/B28</f>
        <v>12712.1079734219</v>
      </c>
      <c r="L28" s="9" t="n">
        <f aca="false">(F28+H28)/B28</f>
        <v>3300.99667774086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124130.1</v>
      </c>
      <c r="D29" s="9" t="n">
        <v>81391</v>
      </c>
      <c r="E29" s="9" t="n">
        <v>19600</v>
      </c>
      <c r="F29" s="9"/>
      <c r="G29" s="9" t="n">
        <v>11278.13</v>
      </c>
      <c r="H29" s="9"/>
      <c r="I29" s="9" t="n">
        <v>11860.97</v>
      </c>
      <c r="J29" s="9"/>
      <c r="K29" s="9" t="n">
        <f aca="false">(D29+E29+J29+G29+I29)/B29</f>
        <v>10793.9217391304</v>
      </c>
      <c r="L29" s="9" t="n">
        <f aca="false">(F29+H29)/B29</f>
        <v>0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69242.46</v>
      </c>
      <c r="D30" s="26" t="n">
        <v>31762</v>
      </c>
      <c r="E30" s="9" t="n">
        <v>16100</v>
      </c>
      <c r="F30" s="9"/>
      <c r="G30" s="9" t="n">
        <v>8102.38</v>
      </c>
      <c r="H30" s="9"/>
      <c r="I30" s="9" t="n">
        <v>13278.08</v>
      </c>
      <c r="J30" s="9"/>
      <c r="K30" s="9" t="n">
        <f aca="false">(D30+E30+J30+G30+I30)/B30</f>
        <v>11168.1387096774</v>
      </c>
      <c r="L30" s="9" t="n">
        <f aca="false">(F30+H30)/B30</f>
        <v>0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66653.68</v>
      </c>
      <c r="D31" s="9" t="n">
        <v>43680</v>
      </c>
      <c r="E31" s="9" t="n">
        <v>6000</v>
      </c>
      <c r="F31" s="9"/>
      <c r="G31" s="9" t="n">
        <v>10200.08</v>
      </c>
      <c r="H31" s="9" t="n">
        <v>414</v>
      </c>
      <c r="I31" s="9" t="n">
        <v>6359.6</v>
      </c>
      <c r="J31" s="9"/>
      <c r="K31" s="9" t="n">
        <f aca="false">(D31+E31+J31+G31+I31)/B31</f>
        <v>12498.0528301887</v>
      </c>
      <c r="L31" s="9" t="n">
        <f aca="false">(F31+H31)/B31</f>
        <v>78.1132075471698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172678.05</v>
      </c>
      <c r="D32" s="9" t="n">
        <v>93980</v>
      </c>
      <c r="E32" s="9" t="n">
        <v>35800</v>
      </c>
      <c r="F32" s="9"/>
      <c r="G32" s="9" t="n">
        <v>12603.39</v>
      </c>
      <c r="H32" s="9"/>
      <c r="I32" s="9" t="n">
        <v>23519.66</v>
      </c>
      <c r="J32" s="9" t="n">
        <v>6775</v>
      </c>
      <c r="K32" s="9" t="n">
        <f aca="false">(D32+E32+J32+G32+I32)/B32</f>
        <v>11908.8310344828</v>
      </c>
      <c r="L32" s="9" t="n">
        <f aca="false">(F32+H32)/B32</f>
        <v>0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P49"/>
  <printOptions headings="false" gridLines="false" gridLinesSet="true" horizontalCentered="false" verticalCentered="false"/>
  <pageMargins left="0" right="0" top="0" bottom="0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F46" colorId="64" zoomScale="118" zoomScaleNormal="118" zoomScalePageLayoutView="100" workbookViewId="0">
      <selection pane="topLeft" activeCell="H49" activeCellId="0" sqref="H49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11" t="s">
        <v>13</v>
      </c>
      <c r="B2" s="8" t="n">
        <v>9.64</v>
      </c>
      <c r="C2" s="9" t="n">
        <f aca="false">+D2+E2+F2+G2+H2+I2+J2</f>
        <v>152065.91</v>
      </c>
      <c r="D2" s="13" t="n">
        <v>74794</v>
      </c>
      <c r="E2" s="13" t="n">
        <v>25200</v>
      </c>
      <c r="F2" s="9"/>
      <c r="G2" s="13" t="n">
        <v>24157.01</v>
      </c>
      <c r="H2" s="9" t="n">
        <v>3846</v>
      </c>
      <c r="I2" s="13" t="n">
        <v>24068.9</v>
      </c>
      <c r="J2" s="9"/>
      <c r="K2" s="9" t="n">
        <f aca="false">(D2+E2+J2+G2+I2)/B2</f>
        <v>15375.5093360996</v>
      </c>
      <c r="L2" s="9" t="n">
        <f aca="false">(F2+H2)/B2</f>
        <v>398.96265560166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92954.96</v>
      </c>
      <c r="D3" s="9" t="n">
        <v>59410</v>
      </c>
      <c r="E3" s="9" t="n">
        <v>14400</v>
      </c>
      <c r="F3" s="9"/>
      <c r="G3" s="9" t="n">
        <v>9339.28</v>
      </c>
      <c r="H3" s="9" t="n">
        <v>3655</v>
      </c>
      <c r="I3" s="9" t="n">
        <v>6150.68</v>
      </c>
      <c r="J3" s="9"/>
      <c r="K3" s="9" t="n">
        <f aca="false">(D3+E3+J3+G3+I3)/B3</f>
        <v>10264.3632183908</v>
      </c>
      <c r="L3" s="9" t="n">
        <f aca="false">(F3+H3)/B3</f>
        <v>420.114942528736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55424.96</v>
      </c>
      <c r="D4" s="9" t="n">
        <v>27040</v>
      </c>
      <c r="E4" s="9" t="n">
        <v>11750</v>
      </c>
      <c r="F4" s="9"/>
      <c r="G4" s="9" t="n">
        <v>9339.28</v>
      </c>
      <c r="H4" s="9" t="n">
        <v>1145</v>
      </c>
      <c r="I4" s="9" t="n">
        <v>6150.68</v>
      </c>
      <c r="J4" s="9"/>
      <c r="K4" s="9" t="n">
        <f aca="false">(D4+E4+J4+G4+I4)/B4</f>
        <v>8481.24375</v>
      </c>
      <c r="L4" s="9" t="n">
        <f aca="false">(F4+H4)/B4</f>
        <v>178.90625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335075.82</v>
      </c>
      <c r="D5" s="9" t="n">
        <v>196970</v>
      </c>
      <c r="E5" s="9" t="n">
        <v>48750</v>
      </c>
      <c r="F5" s="9"/>
      <c r="G5" s="9" t="n">
        <v>29760.41</v>
      </c>
      <c r="H5" s="9" t="n">
        <v>8135</v>
      </c>
      <c r="I5" s="9" t="n">
        <v>51460.41</v>
      </c>
      <c r="J5" s="9"/>
      <c r="K5" s="9" t="n">
        <f aca="false">(D5+E5+J5+G5+I5)/B5</f>
        <v>21868.9511705686</v>
      </c>
      <c r="L5" s="9" t="n">
        <f aca="false">(F5+H5)/B5</f>
        <v>544.147157190635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99353.98</v>
      </c>
      <c r="D6" s="9" t="n">
        <v>52982</v>
      </c>
      <c r="E6" s="9" t="n">
        <v>16238</v>
      </c>
      <c r="F6" s="9"/>
      <c r="G6" s="9" t="n">
        <v>14145.53</v>
      </c>
      <c r="H6" s="9" t="n">
        <v>1400</v>
      </c>
      <c r="I6" s="9" t="n">
        <v>14588.45</v>
      </c>
      <c r="J6" s="9"/>
      <c r="K6" s="9" t="n">
        <f aca="false">(D6+E6+J6+G6+I6)/B6</f>
        <v>15069.8430769231</v>
      </c>
      <c r="L6" s="9" t="n">
        <f aca="false">(F6+H6)/B6</f>
        <v>215.384615384615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153850.74</v>
      </c>
      <c r="D7" s="9" t="n">
        <v>67816</v>
      </c>
      <c r="E7" s="9" t="n">
        <v>36690</v>
      </c>
      <c r="F7" s="9"/>
      <c r="G7" s="9" t="n">
        <v>22544.46</v>
      </c>
      <c r="H7" s="9" t="n">
        <v>7905</v>
      </c>
      <c r="I7" s="9" t="n">
        <v>18895.28</v>
      </c>
      <c r="J7" s="9"/>
      <c r="K7" s="9" t="n">
        <f aca="false">(D7+E7+J7+G7+I7)/B7</f>
        <v>13627.0532212885</v>
      </c>
      <c r="L7" s="9" t="n">
        <f aca="false">(F7+H7)/B7</f>
        <v>738.095238095238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137883.58</v>
      </c>
      <c r="D8" s="9" t="n">
        <v>84884</v>
      </c>
      <c r="E8" s="9" t="n">
        <v>20650</v>
      </c>
      <c r="F8" s="9"/>
      <c r="G8" s="9" t="n">
        <v>8116.61</v>
      </c>
      <c r="H8" s="9" t="n">
        <v>1410</v>
      </c>
      <c r="I8" s="9" t="n">
        <v>22822.97</v>
      </c>
      <c r="J8" s="9"/>
      <c r="K8" s="9" t="n">
        <f aca="false">(D8+E8+J8+G8+I8)/B8</f>
        <v>18902.1578947368</v>
      </c>
      <c r="L8" s="9" t="n">
        <f aca="false">(F8+H8)/B8</f>
        <v>195.290858725762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129193.7</v>
      </c>
      <c r="D9" s="9" t="n">
        <v>67894</v>
      </c>
      <c r="E9" s="9" t="n">
        <v>10400</v>
      </c>
      <c r="F9" s="9"/>
      <c r="G9" s="9" t="n">
        <v>22047.96</v>
      </c>
      <c r="H9" s="9" t="n">
        <v>5890</v>
      </c>
      <c r="I9" s="9" t="n">
        <v>20981.74</v>
      </c>
      <c r="J9" s="9" t="n">
        <v>1980</v>
      </c>
      <c r="K9" s="9" t="n">
        <f aca="false">(D9+E9+J9+G9+I9)/B9</f>
        <v>15707.4777070064</v>
      </c>
      <c r="L9" s="9" t="n">
        <f aca="false">(F9+H9)/B9</f>
        <v>750.31847133758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197544.74</v>
      </c>
      <c r="D10" s="9" t="n">
        <v>115146</v>
      </c>
      <c r="E10" s="9" t="n">
        <v>28700</v>
      </c>
      <c r="F10" s="9"/>
      <c r="G10" s="9" t="n">
        <v>16808.44</v>
      </c>
      <c r="H10" s="9" t="n">
        <v>5534</v>
      </c>
      <c r="I10" s="9" t="n">
        <v>29536.3</v>
      </c>
      <c r="J10" s="9" t="n">
        <v>1820</v>
      </c>
      <c r="K10" s="9" t="n">
        <f aca="false">(D10+E10+J10+G10+I10)/B10</f>
        <v>13913.8217391304</v>
      </c>
      <c r="L10" s="9" t="n">
        <f aca="false">(F10+H10)/B10</f>
        <v>401.014492753623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130180.75</v>
      </c>
      <c r="D11" s="9" t="n">
        <v>85762</v>
      </c>
      <c r="E11" s="9" t="n">
        <v>18600</v>
      </c>
      <c r="F11" s="9"/>
      <c r="G11" s="9" t="n">
        <v>8011.97</v>
      </c>
      <c r="H11" s="9" t="n">
        <v>1814</v>
      </c>
      <c r="I11" s="9" t="n">
        <v>15992.78</v>
      </c>
      <c r="J11" s="9"/>
      <c r="K11" s="9" t="n">
        <f aca="false">(D11+E11+J11+G11+I11)/B11</f>
        <v>16890.3618421053</v>
      </c>
      <c r="L11" s="9" t="n">
        <f aca="false">(F11+H11)/B11</f>
        <v>238.684210526316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193935</v>
      </c>
      <c r="D12" s="9" t="n">
        <v>105632</v>
      </c>
      <c r="E12" s="9" t="n">
        <v>43900</v>
      </c>
      <c r="F12" s="9"/>
      <c r="G12" s="9" t="n">
        <v>13554.98</v>
      </c>
      <c r="H12" s="9" t="n">
        <v>6035</v>
      </c>
      <c r="I12" s="9" t="n">
        <v>24813.02</v>
      </c>
      <c r="J12" s="9"/>
      <c r="K12" s="9" t="n">
        <f aca="false">(D12+E12+J12+G12+I12)/B12</f>
        <v>13421.4285714286</v>
      </c>
      <c r="L12" s="9" t="n">
        <f aca="false">(F12+H12)/B12</f>
        <v>431.071428571429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55176.45</v>
      </c>
      <c r="D13" s="9" t="n">
        <v>27861</v>
      </c>
      <c r="E13" s="9" t="n">
        <v>11665</v>
      </c>
      <c r="F13" s="9"/>
      <c r="G13" s="9" t="n">
        <v>9201</v>
      </c>
      <c r="H13" s="9" t="n">
        <v>1700</v>
      </c>
      <c r="I13" s="9" t="n">
        <v>4749.45</v>
      </c>
      <c r="J13" s="9"/>
      <c r="K13" s="9" t="n">
        <f aca="false">(D13+E13+J13+G13+I13)/B13</f>
        <v>8972.55872483221</v>
      </c>
      <c r="L13" s="9" t="n">
        <f aca="false">(F13+H13)/B13</f>
        <v>285.234899328859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77186.71</v>
      </c>
      <c r="D14" s="9" t="n">
        <v>53269</v>
      </c>
      <c r="E14" s="9" t="n">
        <v>14420</v>
      </c>
      <c r="F14" s="9"/>
      <c r="G14" s="9" t="n">
        <v>3217.33</v>
      </c>
      <c r="H14" s="9" t="n">
        <v>1500</v>
      </c>
      <c r="I14" s="9" t="n">
        <v>4780.38</v>
      </c>
      <c r="J14" s="9"/>
      <c r="K14" s="9" t="n">
        <f aca="false">(D14+E14+J14+G14+I14)/B14</f>
        <v>17201.525</v>
      </c>
      <c r="L14" s="9" t="n">
        <f aca="false">(F14+H14)/B14</f>
        <v>340.909090909091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140168.44</v>
      </c>
      <c r="D15" s="9" t="n">
        <v>95162</v>
      </c>
      <c r="E15" s="9" t="n">
        <v>16000</v>
      </c>
      <c r="F15" s="9"/>
      <c r="G15" s="9" t="n">
        <v>14049</v>
      </c>
      <c r="H15" s="9" t="n">
        <v>3560</v>
      </c>
      <c r="I15" s="9" t="n">
        <v>11397.44</v>
      </c>
      <c r="J15" s="9"/>
      <c r="K15" s="9" t="n">
        <f aca="false">(D15+E15+J15+G15+I15)/B15</f>
        <v>25630.1013133208</v>
      </c>
      <c r="L15" s="9" t="n">
        <f aca="false">(F15+H15)/B15</f>
        <v>667.917448405253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196540.4</v>
      </c>
      <c r="D16" s="9" t="n">
        <v>122106</v>
      </c>
      <c r="E16" s="9" t="n">
        <v>26900</v>
      </c>
      <c r="F16" s="9"/>
      <c r="G16" s="9" t="n">
        <v>8005.82</v>
      </c>
      <c r="H16" s="9" t="n">
        <v>5676</v>
      </c>
      <c r="I16" s="9" t="n">
        <v>30337.58</v>
      </c>
      <c r="J16" s="9" t="n">
        <v>3515</v>
      </c>
      <c r="K16" s="9" t="n">
        <f aca="false">(D16+E16+J16+G16+I16)/B16</f>
        <v>18530.5242718447</v>
      </c>
      <c r="L16" s="9" t="n">
        <f aca="false">(F16+H16)/B16</f>
        <v>551.067961165049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127925.31</v>
      </c>
      <c r="D17" s="9" t="n">
        <v>45909</v>
      </c>
      <c r="E17" s="9" t="n">
        <v>10800</v>
      </c>
      <c r="F17" s="9" t="n">
        <v>38350</v>
      </c>
      <c r="G17" s="9" t="n">
        <v>14600.91</v>
      </c>
      <c r="H17" s="9" t="n">
        <v>5230</v>
      </c>
      <c r="I17" s="9" t="n">
        <v>13035.4</v>
      </c>
      <c r="J17" s="9"/>
      <c r="K17" s="9" t="n">
        <f aca="false">(D17+E17+J17+G17+I17)/B17</f>
        <v>14057.5516666667</v>
      </c>
      <c r="L17" s="9" t="n">
        <f aca="false">(F17+H17)/B17</f>
        <v>7263.33333333333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208890.19</v>
      </c>
      <c r="D18" s="9" t="n">
        <v>117077</v>
      </c>
      <c r="E18" s="9" t="n">
        <v>37950</v>
      </c>
      <c r="F18" s="9"/>
      <c r="G18" s="9" t="n">
        <v>15694.31</v>
      </c>
      <c r="H18" s="9" t="n">
        <v>11805</v>
      </c>
      <c r="I18" s="9" t="n">
        <v>26363.88</v>
      </c>
      <c r="J18" s="9"/>
      <c r="K18" s="9" t="n">
        <f aca="false">(D18+E18+J18+G18+I18)/B18</f>
        <v>20966.5095744681</v>
      </c>
      <c r="L18" s="9" t="n">
        <f aca="false">(F18+H18)/B18</f>
        <v>1255.85106382979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111871.26</v>
      </c>
      <c r="D19" s="9" t="n">
        <v>65300</v>
      </c>
      <c r="E19" s="9" t="n">
        <v>21700</v>
      </c>
      <c r="F19" s="9"/>
      <c r="G19" s="9" t="n">
        <v>8865.44</v>
      </c>
      <c r="H19" s="9" t="n">
        <v>2750</v>
      </c>
      <c r="I19" s="9" t="n">
        <v>13255.82</v>
      </c>
      <c r="J19" s="9"/>
      <c r="K19" s="9" t="n">
        <f aca="false">(D19+E19+J19+G19+I19)/B19</f>
        <v>18186.8766666667</v>
      </c>
      <c r="L19" s="9" t="n">
        <f aca="false">(F19+H19)/B19</f>
        <v>458.333333333333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57273.08</v>
      </c>
      <c r="D20" s="9" t="n">
        <v>20929</v>
      </c>
      <c r="E20" s="9" t="n">
        <v>2970</v>
      </c>
      <c r="F20" s="9"/>
      <c r="G20" s="9" t="n">
        <v>17072.69</v>
      </c>
      <c r="H20" s="9" t="n">
        <v>4642</v>
      </c>
      <c r="I20" s="9" t="n">
        <v>10879.39</v>
      </c>
      <c r="J20" s="9" t="n">
        <v>780</v>
      </c>
      <c r="K20" s="9" t="n">
        <f aca="false">(D20+E20+J20+G20+I20)/B20</f>
        <v>9398.40714285714</v>
      </c>
      <c r="L20" s="9" t="n">
        <f aca="false">(F20+H20)/B20</f>
        <v>828.928571428571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90078.1</v>
      </c>
      <c r="D21" s="9" t="n">
        <v>46426</v>
      </c>
      <c r="E21" s="9" t="n">
        <v>12930</v>
      </c>
      <c r="F21" s="9"/>
      <c r="G21" s="9" t="n">
        <v>17693.22</v>
      </c>
      <c r="H21" s="9" t="n">
        <v>2952</v>
      </c>
      <c r="I21" s="9" t="n">
        <v>10076.88</v>
      </c>
      <c r="J21" s="9"/>
      <c r="K21" s="9" t="n">
        <f aca="false">(D21+E21+J21+G21+I21)/B21</f>
        <v>11773.7972972973</v>
      </c>
      <c r="L21" s="9" t="n">
        <f aca="false">(F21+H21)/B21</f>
        <v>398.918918918919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131695.35</v>
      </c>
      <c r="D22" s="9" t="n">
        <v>76182</v>
      </c>
      <c r="E22" s="9" t="n">
        <v>17590</v>
      </c>
      <c r="F22" s="9"/>
      <c r="G22" s="9" t="n">
        <v>16497.14</v>
      </c>
      <c r="H22" s="9" t="n">
        <v>7380</v>
      </c>
      <c r="I22" s="9" t="n">
        <v>14046.21</v>
      </c>
      <c r="J22" s="9"/>
      <c r="K22" s="9" t="n">
        <f aca="false">(D22+E22+J22+G22+I22)/B22</f>
        <v>15105.1458080194</v>
      </c>
      <c r="L22" s="9" t="n">
        <f aca="false">(F22+H22)/B22</f>
        <v>896.719319562576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37801.31</v>
      </c>
      <c r="D23" s="9" t="n">
        <v>25415</v>
      </c>
      <c r="E23" s="9" t="n">
        <v>4625</v>
      </c>
      <c r="F23" s="9"/>
      <c r="G23" s="9" t="n">
        <v>1572.13</v>
      </c>
      <c r="H23" s="9" t="n">
        <v>5747</v>
      </c>
      <c r="I23" s="9" t="n">
        <v>442.18</v>
      </c>
      <c r="J23" s="9"/>
      <c r="K23" s="9" t="n">
        <f aca="false">(D23+E23+J23+G23+I23)/B23</f>
        <v>6047.98301886793</v>
      </c>
      <c r="L23" s="9" t="n">
        <f aca="false">(F23+H23)/B23</f>
        <v>1084.33962264151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348140.29</v>
      </c>
      <c r="D24" s="9" t="n">
        <v>188720</v>
      </c>
      <c r="E24" s="9" t="n">
        <v>62635</v>
      </c>
      <c r="F24" s="20" t="n">
        <v>40550</v>
      </c>
      <c r="G24" s="9" t="n">
        <v>28858.19</v>
      </c>
      <c r="H24" s="9" t="n">
        <v>4336</v>
      </c>
      <c r="I24" s="9" t="n">
        <v>23041.1</v>
      </c>
      <c r="J24" s="9"/>
      <c r="K24" s="9" t="n">
        <f aca="false">(D24+E24+J24+G24+I24)/B24</f>
        <v>12178.8871485944</v>
      </c>
      <c r="L24" s="9" t="n">
        <f aca="false">(F24+H24)/B24</f>
        <v>1802.65060240964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184059.51</v>
      </c>
      <c r="D25" s="9" t="n">
        <v>123426</v>
      </c>
      <c r="E25" s="9" t="n">
        <v>12500</v>
      </c>
      <c r="F25" s="9"/>
      <c r="G25" s="9" t="n">
        <v>21191.2</v>
      </c>
      <c r="H25" s="9" t="n">
        <v>5000</v>
      </c>
      <c r="I25" s="9" t="n">
        <v>21942.31</v>
      </c>
      <c r="J25" s="9"/>
      <c r="K25" s="9" t="n">
        <f aca="false">(D25+E25+J25+G25+I25)/B25</f>
        <v>16503.1806451613</v>
      </c>
      <c r="L25" s="9" t="n">
        <f aca="false">(F25+H25)/B25</f>
        <v>460.829493087558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20932.65</v>
      </c>
      <c r="D26" s="9" t="n">
        <v>4855</v>
      </c>
      <c r="E26" s="9"/>
      <c r="F26" s="9"/>
      <c r="G26" s="9" t="n">
        <v>7362.1</v>
      </c>
      <c r="H26" s="9" t="n">
        <v>2000</v>
      </c>
      <c r="I26" s="9" t="n">
        <v>6715.55</v>
      </c>
      <c r="J26" s="9"/>
      <c r="K26" s="9" t="n">
        <f aca="false">(D26+E26+J26+G26+I26)/B26</f>
        <v>5424.82808022923</v>
      </c>
      <c r="L26" s="9" t="n">
        <f aca="false">(F26+H26)/B26</f>
        <v>573.065902578797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68347.64</v>
      </c>
      <c r="D27" s="9" t="n">
        <v>39432</v>
      </c>
      <c r="E27" s="9" t="n">
        <v>12340</v>
      </c>
      <c r="F27" s="9"/>
      <c r="G27" s="9" t="n">
        <v>6438</v>
      </c>
      <c r="H27" s="9" t="n">
        <v>1650</v>
      </c>
      <c r="I27" s="9" t="n">
        <v>8487.64</v>
      </c>
      <c r="J27" s="9"/>
      <c r="K27" s="9" t="n">
        <f aca="false">(D27+E27+J27+G27+I27)/B27</f>
        <v>12017.5927927928</v>
      </c>
      <c r="L27" s="9" t="n">
        <f aca="false">(F27+H27)/B27</f>
        <v>297.297297297297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75838.05</v>
      </c>
      <c r="D28" s="9" t="n">
        <v>42786</v>
      </c>
      <c r="E28" s="9" t="n">
        <v>16520</v>
      </c>
      <c r="F28" s="9"/>
      <c r="G28" s="9" t="n">
        <v>6607.78</v>
      </c>
      <c r="H28" s="9" t="n">
        <v>1650</v>
      </c>
      <c r="I28" s="9" t="n">
        <v>8274.27</v>
      </c>
      <c r="J28" s="9"/>
      <c r="K28" s="9" t="n">
        <f aca="false">(D28+E28+J28+G28+I28)/B28</f>
        <v>12323.596345515</v>
      </c>
      <c r="L28" s="9" t="n">
        <f aca="false">(F28+H28)/B28</f>
        <v>274.086378737542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133140.69</v>
      </c>
      <c r="D29" s="9" t="n">
        <v>77629</v>
      </c>
      <c r="E29" s="9" t="n">
        <v>29290</v>
      </c>
      <c r="F29" s="9"/>
      <c r="G29" s="9" t="n">
        <v>11278.13</v>
      </c>
      <c r="H29" s="9" t="n">
        <v>2169</v>
      </c>
      <c r="I29" s="9" t="n">
        <v>12774.56</v>
      </c>
      <c r="J29" s="9"/>
      <c r="K29" s="9" t="n">
        <f aca="false">(D29+E29+J29+G29+I29)/B29</f>
        <v>11388.8426086957</v>
      </c>
      <c r="L29" s="9" t="n">
        <f aca="false">(F29+H29)/B29</f>
        <v>188.608695652174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77376.46</v>
      </c>
      <c r="D30" s="26" t="n">
        <v>38046</v>
      </c>
      <c r="E30" s="9" t="n">
        <v>16100</v>
      </c>
      <c r="F30" s="9"/>
      <c r="G30" s="9" t="n">
        <v>8102.38</v>
      </c>
      <c r="H30" s="9" t="n">
        <v>1850</v>
      </c>
      <c r="I30" s="9" t="n">
        <v>13278.08</v>
      </c>
      <c r="J30" s="9"/>
      <c r="K30" s="9" t="n">
        <f aca="false">(D30+E30+J30+G30+I30)/B30</f>
        <v>12181.6870967742</v>
      </c>
      <c r="L30" s="9" t="n">
        <f aca="false">(F30+H30)/B30</f>
        <v>298.387096774194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62360.06</v>
      </c>
      <c r="D31" s="9" t="n">
        <v>37295</v>
      </c>
      <c r="E31" s="9" t="n">
        <v>6000</v>
      </c>
      <c r="F31" s="9"/>
      <c r="G31" s="9" t="n">
        <v>10200.08</v>
      </c>
      <c r="H31" s="9" t="n">
        <v>810</v>
      </c>
      <c r="I31" s="9" t="n">
        <v>8054.98</v>
      </c>
      <c r="J31" s="9"/>
      <c r="K31" s="9" t="n">
        <f aca="false">(D31+E31+J31+G31+I31)/B31</f>
        <v>11613.2188679245</v>
      </c>
      <c r="L31" s="9" t="n">
        <f aca="false">(F31+H31)/B31</f>
        <v>152.830188679245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181628.05</v>
      </c>
      <c r="D32" s="9" t="n">
        <v>102885</v>
      </c>
      <c r="E32" s="9" t="n">
        <v>35950</v>
      </c>
      <c r="F32" s="9"/>
      <c r="G32" s="9" t="n">
        <v>12603.39</v>
      </c>
      <c r="H32" s="9" t="n">
        <v>5845</v>
      </c>
      <c r="I32" s="9" t="n">
        <v>23519.66</v>
      </c>
      <c r="J32" s="9" t="n">
        <v>825</v>
      </c>
      <c r="K32" s="9" t="n">
        <f aca="false">(D32+E32+J32+G32+I32)/B32</f>
        <v>12122.9689655172</v>
      </c>
      <c r="L32" s="9" t="n">
        <f aca="false">(F32+H32)/B32</f>
        <v>403.103448275862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P50"/>
  <printOptions headings="false" gridLines="false" gridLinesSet="true" horizontalCentered="false" verticalCentered="false"/>
  <pageMargins left="0" right="0" top="0" bottom="0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4" colorId="64" zoomScale="118" zoomScaleNormal="118" zoomScalePageLayoutView="100" workbookViewId="0">
      <pane xSplit="0" ySplit="4" topLeftCell="A38" activePane="bottomLeft" state="frozen"/>
      <selection pane="topLeft" activeCell="A4" activeCellId="0" sqref="A4"/>
      <selection pane="bottomLeft" activeCell="C50" activeCellId="0" sqref="C50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146799.91</v>
      </c>
      <c r="D2" s="9" t="n">
        <v>65591</v>
      </c>
      <c r="E2" s="9" t="n">
        <v>25200</v>
      </c>
      <c r="F2" s="9" t="n">
        <v>7200</v>
      </c>
      <c r="G2" s="9" t="n">
        <v>24157.01</v>
      </c>
      <c r="H2" s="9" t="n">
        <v>583</v>
      </c>
      <c r="I2" s="9" t="n">
        <v>24068.9</v>
      </c>
      <c r="J2" s="9"/>
      <c r="K2" s="9" t="n">
        <f aca="false">(D2+E2+J2+G2+I2)/B2</f>
        <v>14420.8412863071</v>
      </c>
      <c r="L2" s="9" t="n">
        <f aca="false">(F2+H2)/B2</f>
        <v>807.365145228216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91659.96</v>
      </c>
      <c r="D3" s="9" t="n">
        <v>61470</v>
      </c>
      <c r="E3" s="9" t="n">
        <v>14700</v>
      </c>
      <c r="F3" s="9"/>
      <c r="G3" s="9" t="n">
        <v>9339.28</v>
      </c>
      <c r="H3" s="9"/>
      <c r="I3" s="9" t="n">
        <v>6150.68</v>
      </c>
      <c r="J3" s="9"/>
      <c r="K3" s="9" t="n">
        <f aca="false">(D3+E3+J3+G3+I3)/B3</f>
        <v>10535.6275862069</v>
      </c>
      <c r="L3" s="9" t="n">
        <f aca="false">(F3+H3)/B3</f>
        <v>0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7.4</v>
      </c>
      <c r="C4" s="9" t="n">
        <f aca="false">+D4+E4+F4+G4+H4+I4+J4</f>
        <v>54289.96</v>
      </c>
      <c r="D4" s="9" t="n">
        <v>24650</v>
      </c>
      <c r="E4" s="9" t="n">
        <v>11750</v>
      </c>
      <c r="F4" s="9"/>
      <c r="G4" s="9" t="n">
        <v>9339.28</v>
      </c>
      <c r="H4" s="9" t="n">
        <v>2400</v>
      </c>
      <c r="I4" s="9" t="n">
        <v>6150.68</v>
      </c>
      <c r="J4" s="9"/>
      <c r="K4" s="9" t="n">
        <f aca="false">(D4+E4+J4+G4+I4)/B4</f>
        <v>7012.15675675676</v>
      </c>
      <c r="L4" s="9" t="n">
        <f aca="false">(F4+H4)/B4</f>
        <v>324.324324324324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15.95</v>
      </c>
      <c r="C5" s="9" t="n">
        <f aca="false">+D5+E5+F5+G5+H5+I5+J5</f>
        <v>344446.82</v>
      </c>
      <c r="D5" s="9" t="n">
        <v>208315</v>
      </c>
      <c r="E5" s="9" t="n">
        <v>48750</v>
      </c>
      <c r="F5" s="9"/>
      <c r="G5" s="9" t="n">
        <v>29760.41</v>
      </c>
      <c r="H5" s="9" t="n">
        <v>6161</v>
      </c>
      <c r="I5" s="9" t="n">
        <v>51460.41</v>
      </c>
      <c r="J5" s="9"/>
      <c r="K5" s="9" t="n">
        <f aca="false">(D5+E5+J5+G5+I5)/B5</f>
        <v>21209.1423197492</v>
      </c>
      <c r="L5" s="9" t="n">
        <f aca="false">(F5+H5)/B5</f>
        <v>386.269592476489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86689.98</v>
      </c>
      <c r="D6" s="9" t="n">
        <v>36399</v>
      </c>
      <c r="E6" s="9" t="n">
        <v>21011</v>
      </c>
      <c r="F6" s="9"/>
      <c r="G6" s="9" t="n">
        <v>14145.53</v>
      </c>
      <c r="H6" s="9" t="n">
        <v>546</v>
      </c>
      <c r="I6" s="9" t="n">
        <v>14588.45</v>
      </c>
      <c r="J6" s="9"/>
      <c r="K6" s="9" t="n">
        <f aca="false">(D6+E6+J6+G6+I6)/B6</f>
        <v>13252.92</v>
      </c>
      <c r="L6" s="9" t="n">
        <f aca="false">(F6+H6)/B6</f>
        <v>84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12</v>
      </c>
      <c r="C7" s="9" t="n">
        <f aca="false">+D7+E7+F7+G7+H7+I7+J7</f>
        <v>151919.74</v>
      </c>
      <c r="D7" s="9" t="n">
        <v>74180</v>
      </c>
      <c r="E7" s="9" t="n">
        <v>34500</v>
      </c>
      <c r="F7" s="9"/>
      <c r="G7" s="9" t="n">
        <v>22544.46</v>
      </c>
      <c r="H7" s="9" t="n">
        <v>1800</v>
      </c>
      <c r="I7" s="9" t="n">
        <v>18895.28</v>
      </c>
      <c r="J7" s="9"/>
      <c r="K7" s="9" t="n">
        <f aca="false">(D7+E7+J7+G7+I7)/B7</f>
        <v>12509.9783333333</v>
      </c>
      <c r="L7" s="9" t="n">
        <f aca="false">(F7+H7)/B7</f>
        <v>150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138909.58</v>
      </c>
      <c r="D8" s="9" t="n">
        <v>86355</v>
      </c>
      <c r="E8" s="9" t="n">
        <v>19850</v>
      </c>
      <c r="F8" s="9"/>
      <c r="G8" s="9" t="n">
        <v>8116.61</v>
      </c>
      <c r="H8" s="9"/>
      <c r="I8" s="9" t="n">
        <v>22822.97</v>
      </c>
      <c r="J8" s="9" t="n">
        <v>1765</v>
      </c>
      <c r="K8" s="9" t="n">
        <f aca="false">(D8+E8+J8+G8+I8)/B8</f>
        <v>19239.5540166205</v>
      </c>
      <c r="L8" s="9" t="n">
        <f aca="false">(F8+H8)/B8</f>
        <v>0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7.85</v>
      </c>
      <c r="C9" s="9" t="n">
        <f aca="false">+D9+E9+F9+G9+H9+I9+J9</f>
        <v>165495.7</v>
      </c>
      <c r="D9" s="9" t="n">
        <v>76354</v>
      </c>
      <c r="E9" s="9" t="n">
        <v>10840</v>
      </c>
      <c r="F9" s="9"/>
      <c r="G9" s="9" t="n">
        <v>22047.96</v>
      </c>
      <c r="H9" s="9" t="n">
        <v>35272</v>
      </c>
      <c r="I9" s="9" t="n">
        <v>20981.74</v>
      </c>
      <c r="J9" s="9"/>
      <c r="K9" s="9" t="n">
        <f aca="false">(D9+E9+J9+G9+I9)/B9</f>
        <v>16589.0063694268</v>
      </c>
      <c r="L9" s="9" t="n">
        <f aca="false">(F9+H9)/B9</f>
        <v>4493.24840764331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203949.74</v>
      </c>
      <c r="D10" s="9" t="n">
        <v>127205</v>
      </c>
      <c r="E10" s="9" t="n">
        <v>30400</v>
      </c>
      <c r="F10" s="9"/>
      <c r="G10" s="9" t="n">
        <v>16808.44</v>
      </c>
      <c r="H10" s="9"/>
      <c r="I10" s="9" t="n">
        <v>29536.3</v>
      </c>
      <c r="J10" s="9"/>
      <c r="K10" s="9" t="n">
        <f aca="false">(D10+E10+J10+G10+I10)/B10</f>
        <v>14778.9666666667</v>
      </c>
      <c r="L10" s="9" t="n">
        <f aca="false">(F10+H10)/B10</f>
        <v>0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122758.75</v>
      </c>
      <c r="D11" s="9" t="n">
        <v>80154</v>
      </c>
      <c r="E11" s="9" t="n">
        <v>18600</v>
      </c>
      <c r="F11" s="9"/>
      <c r="G11" s="9" t="n">
        <v>8011.97</v>
      </c>
      <c r="H11" s="9"/>
      <c r="I11" s="9" t="n">
        <v>15992.78</v>
      </c>
      <c r="J11" s="9"/>
      <c r="K11" s="9" t="n">
        <f aca="false">(D11+E11+J11+G11+I11)/B11</f>
        <v>16152.4671052632</v>
      </c>
      <c r="L11" s="9" t="n">
        <f aca="false">(F11+H11)/B11</f>
        <v>0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13.75</v>
      </c>
      <c r="C12" s="9" t="n">
        <f aca="false">+D12+E12+F12+G12+H12+I12+J12</f>
        <v>190298</v>
      </c>
      <c r="D12" s="9" t="n">
        <v>106100</v>
      </c>
      <c r="E12" s="9" t="n">
        <v>44880</v>
      </c>
      <c r="F12" s="9"/>
      <c r="G12" s="9" t="n">
        <v>13554.98</v>
      </c>
      <c r="H12" s="9" t="n">
        <v>950</v>
      </c>
      <c r="I12" s="9" t="n">
        <v>24813.02</v>
      </c>
      <c r="J12" s="9"/>
      <c r="K12" s="9" t="n">
        <f aca="false">(D12+E12+J12+G12+I12)/B12</f>
        <v>13770.7636363636</v>
      </c>
      <c r="L12" s="9" t="n">
        <f aca="false">(F12+H12)/B12</f>
        <v>69.0909090909091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46356.45</v>
      </c>
      <c r="D13" s="9" t="n">
        <v>15661</v>
      </c>
      <c r="E13" s="9" t="n">
        <v>11665</v>
      </c>
      <c r="F13" s="9"/>
      <c r="G13" s="9" t="n">
        <v>9201</v>
      </c>
      <c r="H13" s="9" t="n">
        <v>5080</v>
      </c>
      <c r="I13" s="9" t="n">
        <v>4749.45</v>
      </c>
      <c r="J13" s="9"/>
      <c r="K13" s="9" t="n">
        <f aca="false">(D13+E13+J13+G13+I13)/B13</f>
        <v>6925.5788590604</v>
      </c>
      <c r="L13" s="9" t="n">
        <f aca="false">(F13+H13)/B13</f>
        <v>852.348993288591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49312.71</v>
      </c>
      <c r="D14" s="9" t="n">
        <v>33825</v>
      </c>
      <c r="E14" s="9" t="n">
        <v>5300</v>
      </c>
      <c r="F14" s="9"/>
      <c r="G14" s="9" t="n">
        <v>3217.33</v>
      </c>
      <c r="H14" s="9"/>
      <c r="I14" s="9" t="n">
        <v>4780.38</v>
      </c>
      <c r="J14" s="9" t="n">
        <v>2190</v>
      </c>
      <c r="K14" s="9" t="n">
        <f aca="false">(D14+E14+J14+G14+I14)/B14</f>
        <v>11207.4340909091</v>
      </c>
      <c r="L14" s="9" t="n">
        <f aca="false">(F14+H14)/B14</f>
        <v>0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112303.44</v>
      </c>
      <c r="D15" s="9" t="n">
        <v>68757</v>
      </c>
      <c r="E15" s="9" t="n">
        <v>16000</v>
      </c>
      <c r="F15" s="9"/>
      <c r="G15" s="9" t="n">
        <v>14049</v>
      </c>
      <c r="H15" s="9" t="n">
        <v>2100</v>
      </c>
      <c r="I15" s="9" t="n">
        <v>11397.44</v>
      </c>
      <c r="J15" s="9"/>
      <c r="K15" s="9" t="n">
        <f aca="false">(D15+E15+J15+G15+I15)/B15</f>
        <v>20676.0675422139</v>
      </c>
      <c r="L15" s="9" t="n">
        <f aca="false">(F15+H15)/B15</f>
        <v>393.996247654784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11.3</v>
      </c>
      <c r="C16" s="9" t="n">
        <f aca="false">+D16+E16+F16+G16+H16+I16+J16</f>
        <v>182726.4</v>
      </c>
      <c r="D16" s="9" t="n">
        <v>116998</v>
      </c>
      <c r="E16" s="9" t="n">
        <v>27385</v>
      </c>
      <c r="F16" s="9"/>
      <c r="G16" s="9" t="n">
        <v>8005.82</v>
      </c>
      <c r="H16" s="9"/>
      <c r="I16" s="9" t="n">
        <v>30337.58</v>
      </c>
      <c r="J16" s="9"/>
      <c r="K16" s="9" t="n">
        <f aca="false">(D16+E16+J16+G16+I16)/B16</f>
        <v>16170.4778761062</v>
      </c>
      <c r="L16" s="9" t="n">
        <f aca="false">(F16+H16)/B16</f>
        <v>0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84969.31</v>
      </c>
      <c r="D17" s="9" t="n">
        <v>44473</v>
      </c>
      <c r="E17" s="9" t="n">
        <v>12860</v>
      </c>
      <c r="F17" s="9"/>
      <c r="G17" s="9" t="n">
        <v>14600.91</v>
      </c>
      <c r="H17" s="9"/>
      <c r="I17" s="9" t="n">
        <v>13035.4</v>
      </c>
      <c r="J17" s="9"/>
      <c r="K17" s="9" t="n">
        <f aca="false">(D17+E17+J17+G17+I17)/B17</f>
        <v>14161.5516666667</v>
      </c>
      <c r="L17" s="9" t="n">
        <f aca="false">(F17+H17)/B17</f>
        <v>0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189714.19</v>
      </c>
      <c r="D18" s="9" t="n">
        <v>110052</v>
      </c>
      <c r="E18" s="9" t="n">
        <v>37604</v>
      </c>
      <c r="F18" s="9"/>
      <c r="G18" s="9" t="n">
        <v>15694.31</v>
      </c>
      <c r="H18" s="9"/>
      <c r="I18" s="9" t="n">
        <v>26363.88</v>
      </c>
      <c r="J18" s="9"/>
      <c r="K18" s="9" t="n">
        <f aca="false">(D18+E18+J18+G18+I18)/B18</f>
        <v>20182.3606382979</v>
      </c>
      <c r="L18" s="9" t="n">
        <f aca="false">(F18+H18)/B18</f>
        <v>0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109452.26</v>
      </c>
      <c r="D19" s="9" t="n">
        <v>65761</v>
      </c>
      <c r="E19" s="9" t="n">
        <v>21570</v>
      </c>
      <c r="F19" s="9"/>
      <c r="G19" s="9" t="n">
        <v>8865.44</v>
      </c>
      <c r="H19" s="9"/>
      <c r="I19" s="9" t="n">
        <v>13255.82</v>
      </c>
      <c r="J19" s="9"/>
      <c r="K19" s="9" t="n">
        <f aca="false">(D19+E19+J19+G19+I19)/B19</f>
        <v>18242.0433333333</v>
      </c>
      <c r="L19" s="9" t="n">
        <f aca="false">(F19+H19)/B19</f>
        <v>0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54414.08</v>
      </c>
      <c r="D20" s="9" t="n">
        <v>23512</v>
      </c>
      <c r="E20" s="9" t="n">
        <v>1650</v>
      </c>
      <c r="F20" s="9"/>
      <c r="G20" s="9" t="n">
        <v>17072.69</v>
      </c>
      <c r="H20" s="9"/>
      <c r="I20" s="9" t="n">
        <v>10879.39</v>
      </c>
      <c r="J20" s="9" t="n">
        <v>1300</v>
      </c>
      <c r="K20" s="9" t="n">
        <f aca="false">(D20+E20+J20+G20+I20)/B20</f>
        <v>9716.8</v>
      </c>
      <c r="L20" s="9" t="n">
        <f aca="false">(F20+H20)/B20</f>
        <v>0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82857.1</v>
      </c>
      <c r="D21" s="9" t="n">
        <v>38782</v>
      </c>
      <c r="E21" s="9" t="n">
        <v>13650</v>
      </c>
      <c r="F21" s="9"/>
      <c r="G21" s="9" t="n">
        <v>17693.22</v>
      </c>
      <c r="H21" s="9" t="n">
        <v>2655</v>
      </c>
      <c r="I21" s="9" t="n">
        <v>10076.88</v>
      </c>
      <c r="J21" s="9"/>
      <c r="K21" s="9" t="n">
        <f aca="false">(D21+E21+J21+G21+I21)/B21</f>
        <v>10838.1216216216</v>
      </c>
      <c r="L21" s="9" t="n">
        <f aca="false">(F21+H21)/B21</f>
        <v>358.783783783784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10.08</v>
      </c>
      <c r="C22" s="9" t="n">
        <f aca="false">+D22+E22+F22+G22+H22+I22+J22</f>
        <v>129970.59</v>
      </c>
      <c r="D22" s="9" t="n">
        <v>72055</v>
      </c>
      <c r="E22" s="9" t="n">
        <v>18600</v>
      </c>
      <c r="F22" s="9"/>
      <c r="G22" s="9" t="n">
        <v>16497.14</v>
      </c>
      <c r="H22" s="9" t="n">
        <v>8122.24</v>
      </c>
      <c r="I22" s="9" t="n">
        <v>14046.21</v>
      </c>
      <c r="J22" s="9" t="n">
        <v>650</v>
      </c>
      <c r="K22" s="9" t="n">
        <f aca="false">(D22+E22+J22+G22+I22)/B22</f>
        <v>12088.1299603175</v>
      </c>
      <c r="L22" s="9" t="n">
        <f aca="false">(F22+H22)/B22</f>
        <v>805.777777777778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36054.31</v>
      </c>
      <c r="D23" s="9" t="n">
        <v>27815</v>
      </c>
      <c r="E23" s="9" t="n">
        <v>6225</v>
      </c>
      <c r="F23" s="9"/>
      <c r="G23" s="9" t="n">
        <v>1572.13</v>
      </c>
      <c r="H23" s="9"/>
      <c r="I23" s="9" t="n">
        <v>442.18</v>
      </c>
      <c r="J23" s="9"/>
      <c r="K23" s="9" t="n">
        <f aca="false">(D23+E23+J23+G23+I23)/B23</f>
        <v>6802.7</v>
      </c>
      <c r="L23" s="9" t="n">
        <f aca="false">(F23+H23)/B23</f>
        <v>0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</v>
      </c>
      <c r="C24" s="9" t="n">
        <f aca="false">+D24+E24+F24+G24+H24+I24+J24</f>
        <v>273159.29</v>
      </c>
      <c r="D24" s="9" t="n">
        <v>161490</v>
      </c>
      <c r="E24" s="9" t="n">
        <v>59770</v>
      </c>
      <c r="F24" s="20"/>
      <c r="G24" s="9" t="n">
        <v>28858.19</v>
      </c>
      <c r="H24" s="9"/>
      <c r="I24" s="9" t="n">
        <v>23041.1</v>
      </c>
      <c r="J24" s="9"/>
      <c r="K24" s="9" t="n">
        <f aca="false">(D24+E24+J24+G24+I24)/B24</f>
        <v>11381.6370833333</v>
      </c>
      <c r="L24" s="9" t="n">
        <f aca="false">(F24+H24)/B24</f>
        <v>0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14.3</v>
      </c>
      <c r="C25" s="9" t="n">
        <f aca="false">+D25+E25+F25+G25+H25+I25+J25</f>
        <v>166630.51</v>
      </c>
      <c r="D25" s="9" t="n">
        <v>86062</v>
      </c>
      <c r="E25" s="9" t="n">
        <v>37435</v>
      </c>
      <c r="F25" s="9"/>
      <c r="G25" s="9" t="n">
        <v>21191.2</v>
      </c>
      <c r="H25" s="9"/>
      <c r="I25" s="9" t="n">
        <v>21942.31</v>
      </c>
      <c r="J25" s="9"/>
      <c r="K25" s="9" t="n">
        <f aca="false">(D25+E25+J25+G25+I25)/B25</f>
        <v>11652.4832167832</v>
      </c>
      <c r="L25" s="9" t="n">
        <f aca="false">(F25+H25)/B25</f>
        <v>0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26637.65</v>
      </c>
      <c r="D26" s="9" t="n">
        <v>5505</v>
      </c>
      <c r="E26" s="9" t="n">
        <v>7055</v>
      </c>
      <c r="F26" s="9"/>
      <c r="G26" s="9" t="n">
        <v>7362.1</v>
      </c>
      <c r="H26" s="9"/>
      <c r="I26" s="9" t="n">
        <v>6715.55</v>
      </c>
      <c r="J26" s="9"/>
      <c r="K26" s="9" t="n">
        <f aca="false">(D26+E26+J26+G26+I26)/B26</f>
        <v>7632.56446991404</v>
      </c>
      <c r="L26" s="9" t="n">
        <f aca="false">(F26+H26)/B26</f>
        <v>0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67225.64</v>
      </c>
      <c r="D27" s="9" t="n">
        <v>39910</v>
      </c>
      <c r="E27" s="9" t="n">
        <v>12390</v>
      </c>
      <c r="F27" s="9"/>
      <c r="G27" s="9" t="n">
        <v>6438</v>
      </c>
      <c r="H27" s="9"/>
      <c r="I27" s="9" t="n">
        <v>8487.64</v>
      </c>
      <c r="J27" s="9"/>
      <c r="K27" s="9" t="n">
        <f aca="false">(D27+E27+J27+G27+I27)/B27</f>
        <v>12112.7279279279</v>
      </c>
      <c r="L27" s="9" t="n">
        <f aca="false">(F27+H27)/B27</f>
        <v>0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7.75</v>
      </c>
      <c r="C28" s="9" t="n">
        <f aca="false">+D28+E28+F28+G28+H28+I28+J28</f>
        <v>76388.05</v>
      </c>
      <c r="D28" s="9" t="n">
        <v>44876</v>
      </c>
      <c r="E28" s="9" t="n">
        <v>16630</v>
      </c>
      <c r="F28" s="9"/>
      <c r="G28" s="9" t="n">
        <v>6607.78</v>
      </c>
      <c r="H28" s="9"/>
      <c r="I28" s="9" t="n">
        <v>8274.27</v>
      </c>
      <c r="J28" s="9"/>
      <c r="K28" s="9" t="n">
        <f aca="false">(D28+E28+J28+G28+I28)/B28</f>
        <v>9856.52258064516</v>
      </c>
      <c r="L28" s="9" t="n">
        <f aca="false">(F28+H28)/B28</f>
        <v>0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11.3</v>
      </c>
      <c r="C29" s="9" t="n">
        <f aca="false">+D29+E29+F29+G29+H29+I29+J29</f>
        <v>130256.69</v>
      </c>
      <c r="D29" s="9" t="n">
        <v>76154</v>
      </c>
      <c r="E29" s="9" t="n">
        <v>30050</v>
      </c>
      <c r="F29" s="9"/>
      <c r="G29" s="9" t="n">
        <v>11278.13</v>
      </c>
      <c r="H29" s="9"/>
      <c r="I29" s="9" t="n">
        <v>12774.56</v>
      </c>
      <c r="J29" s="9"/>
      <c r="K29" s="9" t="n">
        <f aca="false">(D29+E29+J29+G29+I29)/B29</f>
        <v>11527.1407079646</v>
      </c>
      <c r="L29" s="9" t="n">
        <f aca="false">(F29+H29)/B29</f>
        <v>0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6.3</v>
      </c>
      <c r="C30" s="9" t="n">
        <f aca="false">+D30+E30+F30+G30+H30+I30+J30</f>
        <v>80503.18</v>
      </c>
      <c r="D30" s="26" t="n">
        <v>39950</v>
      </c>
      <c r="E30" s="9" t="n">
        <v>16100</v>
      </c>
      <c r="F30" s="9"/>
      <c r="G30" s="9" t="n">
        <v>8102.38</v>
      </c>
      <c r="H30" s="9" t="n">
        <v>1080</v>
      </c>
      <c r="I30" s="9" t="n">
        <v>13880.8</v>
      </c>
      <c r="J30" s="9" t="n">
        <v>1390</v>
      </c>
      <c r="K30" s="9" t="n">
        <f aca="false">(D30+E30+J30+G30+I30)/B30</f>
        <v>12606.853968254</v>
      </c>
      <c r="L30" s="9" t="n">
        <f aca="false">(F30+H30)/B30</f>
        <v>171.428571428571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59689.06</v>
      </c>
      <c r="D31" s="9" t="n">
        <v>32584</v>
      </c>
      <c r="E31" s="9" t="n">
        <v>6000</v>
      </c>
      <c r="F31" s="9"/>
      <c r="G31" s="9" t="n">
        <v>10200.08</v>
      </c>
      <c r="H31" s="9" t="n">
        <v>2850</v>
      </c>
      <c r="I31" s="9" t="n">
        <v>8054.98</v>
      </c>
      <c r="J31" s="9"/>
      <c r="K31" s="9" t="n">
        <f aca="false">(D31+E31+J31+G31+I31)/B31</f>
        <v>10724.3509433962</v>
      </c>
      <c r="L31" s="9" t="n">
        <f aca="false">(F31+H31)/B31</f>
        <v>537.735849056604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188242.35</v>
      </c>
      <c r="D32" s="9" t="n">
        <v>106116</v>
      </c>
      <c r="E32" s="9" t="n">
        <v>35800</v>
      </c>
      <c r="F32" s="9"/>
      <c r="G32" s="9" t="n">
        <v>12603.39</v>
      </c>
      <c r="H32" s="9"/>
      <c r="I32" s="9" t="n">
        <v>33722.96</v>
      </c>
      <c r="J32" s="9"/>
      <c r="K32" s="9" t="n">
        <f aca="false">(D32+E32+J32+G32+I32)/B32</f>
        <v>12982.2310344828</v>
      </c>
      <c r="L32" s="9" t="n">
        <f aca="false">(F32+H32)/B32</f>
        <v>0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P5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selection pane="topLeft" activeCell="C50" activeCellId="0" sqref="C50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167215.99</v>
      </c>
      <c r="D2" s="9" t="n">
        <v>83380</v>
      </c>
      <c r="E2" s="9" t="n">
        <v>25200</v>
      </c>
      <c r="F2" s="9" t="n">
        <v>9950</v>
      </c>
      <c r="G2" s="9" t="n">
        <v>24157.01</v>
      </c>
      <c r="H2" s="9" t="n">
        <v>2850</v>
      </c>
      <c r="I2" s="9" t="n">
        <v>21678.98</v>
      </c>
      <c r="J2" s="9"/>
      <c r="K2" s="9" t="n">
        <f aca="false">(D2+E2+J2+G2+I2)/B2</f>
        <v>16018.2562240664</v>
      </c>
      <c r="L2" s="9" t="n">
        <f aca="false">(F2+H2)/B2</f>
        <v>1327.80082987552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131581.27</v>
      </c>
      <c r="D3" s="9" t="n">
        <v>89635</v>
      </c>
      <c r="E3" s="9" t="n">
        <v>14700</v>
      </c>
      <c r="F3" s="9" t="n">
        <v>4000</v>
      </c>
      <c r="G3" s="9" t="n">
        <v>10691</v>
      </c>
      <c r="H3" s="9" t="n">
        <v>5380</v>
      </c>
      <c r="I3" s="9" t="n">
        <v>7175.27</v>
      </c>
      <c r="J3" s="9"/>
      <c r="K3" s="9" t="n">
        <f aca="false">(D3+E3+J3+G3+I3)/B3</f>
        <v>14046.1229885058</v>
      </c>
      <c r="L3" s="9" t="n">
        <f aca="false">(F3+H3)/B3</f>
        <v>1078.16091954023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111237.57</v>
      </c>
      <c r="D4" s="9" t="n">
        <v>29835</v>
      </c>
      <c r="E4" s="9" t="n">
        <v>11750</v>
      </c>
      <c r="F4" s="9" t="n">
        <v>53690</v>
      </c>
      <c r="G4" s="9" t="n">
        <v>7987.3</v>
      </c>
      <c r="H4" s="9" t="n">
        <v>800</v>
      </c>
      <c r="I4" s="9" t="n">
        <v>7175.27</v>
      </c>
      <c r="J4" s="9"/>
      <c r="K4" s="9" t="n">
        <f aca="false">(D4+E4+J4+G4+I4)/B4</f>
        <v>8866.8078125</v>
      </c>
      <c r="L4" s="9" t="n">
        <f aca="false">(F4+H4)/B4</f>
        <v>8514.0625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14.95</v>
      </c>
      <c r="C5" s="9" t="n">
        <f aca="false">+D5+E5+F5+G5+H5+I5+J5</f>
        <v>331807.84</v>
      </c>
      <c r="D5" s="9" t="n">
        <v>188065</v>
      </c>
      <c r="E5" s="9" t="n">
        <v>48450</v>
      </c>
      <c r="F5" s="9" t="n">
        <v>8850</v>
      </c>
      <c r="G5" s="9" t="n">
        <v>28359.41</v>
      </c>
      <c r="H5" s="9" t="n">
        <v>9373</v>
      </c>
      <c r="I5" s="9" t="n">
        <v>48710.43</v>
      </c>
      <c r="J5" s="9"/>
      <c r="K5" s="9" t="n">
        <f aca="false">(D5+E5+J5+G5+I5)/B5</f>
        <v>20975.5745819398</v>
      </c>
      <c r="L5" s="9" t="n">
        <f aca="false">(F5+H5)/B5</f>
        <v>1218.92976588629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98575.34</v>
      </c>
      <c r="D6" s="9" t="n">
        <v>48418</v>
      </c>
      <c r="E6" s="9" t="n">
        <v>21097</v>
      </c>
      <c r="F6" s="9"/>
      <c r="G6" s="9" t="n">
        <v>12395.48</v>
      </c>
      <c r="H6" s="9" t="n">
        <v>2225</v>
      </c>
      <c r="I6" s="9" t="n">
        <v>14439.86</v>
      </c>
      <c r="J6" s="9"/>
      <c r="K6" s="9" t="n">
        <f aca="false">(D6+E6+J6+G6+I6)/B6</f>
        <v>14823.1292307692</v>
      </c>
      <c r="L6" s="9" t="n">
        <f aca="false">(F6+H6)/B6</f>
        <v>342.307692307692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159794.67</v>
      </c>
      <c r="D7" s="9" t="n">
        <v>82448</v>
      </c>
      <c r="E7" s="9" t="n">
        <v>37005</v>
      </c>
      <c r="F7" s="9"/>
      <c r="G7" s="9" t="n">
        <v>17544.2</v>
      </c>
      <c r="H7" s="9" t="n">
        <v>4890</v>
      </c>
      <c r="I7" s="9" t="n">
        <v>17907.47</v>
      </c>
      <c r="J7" s="9"/>
      <c r="K7" s="9" t="n">
        <f aca="false">(D7+E7+J7+G7+I7)/B7</f>
        <v>14463.5546218487</v>
      </c>
      <c r="L7" s="9" t="n">
        <f aca="false">(F7+H7)/B7</f>
        <v>456.582633053221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159455.88</v>
      </c>
      <c r="D8" s="9" t="n">
        <v>104856</v>
      </c>
      <c r="E8" s="9" t="n">
        <v>22150</v>
      </c>
      <c r="F8" s="9"/>
      <c r="G8" s="9" t="n">
        <v>10116.8</v>
      </c>
      <c r="H8" s="9" t="n">
        <v>3855</v>
      </c>
      <c r="I8" s="9" t="n">
        <v>18478.08</v>
      </c>
      <c r="J8" s="9"/>
      <c r="K8" s="9" t="n">
        <f aca="false">(D8+E8+J8+G8+I8)/B8</f>
        <v>21551.3684210526</v>
      </c>
      <c r="L8" s="9" t="n">
        <f aca="false">(F8+H8)/B8</f>
        <v>533.93351800554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176532.93</v>
      </c>
      <c r="D9" s="9" t="n">
        <v>116659</v>
      </c>
      <c r="E9" s="9" t="n">
        <v>10970</v>
      </c>
      <c r="F9" s="9" t="n">
        <v>4608</v>
      </c>
      <c r="G9" s="9" t="n">
        <v>20795.76</v>
      </c>
      <c r="H9" s="9" t="n">
        <v>5717</v>
      </c>
      <c r="I9" s="9" t="n">
        <v>17783.17</v>
      </c>
      <c r="J9" s="9"/>
      <c r="K9" s="9" t="n">
        <f aca="false">(D9+E9+J9+G9+I9)/B9</f>
        <v>14025.9856540084</v>
      </c>
      <c r="L9" s="9" t="n">
        <f aca="false">(F9+H9)/B9</f>
        <v>871.308016877637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233966.79</v>
      </c>
      <c r="D10" s="9" t="n">
        <v>145765</v>
      </c>
      <c r="E10" s="9" t="n">
        <v>30400</v>
      </c>
      <c r="F10" s="9" t="n">
        <v>2600</v>
      </c>
      <c r="G10" s="9" t="n">
        <v>19810.81</v>
      </c>
      <c r="H10" s="9" t="n">
        <v>6746</v>
      </c>
      <c r="I10" s="9" t="n">
        <v>28644.98</v>
      </c>
      <c r="J10" s="9"/>
      <c r="K10" s="9" t="n">
        <f aca="false">(D10+E10+J10+G10+I10)/B10</f>
        <v>16276.8688405797</v>
      </c>
      <c r="L10" s="9" t="n">
        <f aca="false">(F10+H10)/B10</f>
        <v>677.246376811594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151205.9</v>
      </c>
      <c r="D11" s="9" t="n">
        <v>97607</v>
      </c>
      <c r="E11" s="9" t="n">
        <v>18600</v>
      </c>
      <c r="F11" s="9"/>
      <c r="G11" s="9" t="n">
        <v>8011.97</v>
      </c>
      <c r="H11" s="9" t="n">
        <v>11032</v>
      </c>
      <c r="I11" s="9" t="n">
        <v>15954.93</v>
      </c>
      <c r="J11" s="9"/>
      <c r="K11" s="9" t="n">
        <f aca="false">(D11+E11+J11+G11+I11)/B11</f>
        <v>18443.9342105263</v>
      </c>
      <c r="L11" s="9" t="n">
        <f aca="false">(F11+H11)/B11</f>
        <v>1451.57894736842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210353.7</v>
      </c>
      <c r="D12" s="9" t="n">
        <v>118467</v>
      </c>
      <c r="E12" s="9" t="n">
        <v>45360</v>
      </c>
      <c r="F12" s="9"/>
      <c r="G12" s="9" t="n">
        <v>17555.08</v>
      </c>
      <c r="H12" s="9" t="n">
        <v>6370</v>
      </c>
      <c r="I12" s="9" t="n">
        <v>22601.62</v>
      </c>
      <c r="J12" s="9"/>
      <c r="K12" s="9" t="n">
        <f aca="false">(D12+E12+J12+G12+I12)/B12</f>
        <v>14570.2642857143</v>
      </c>
      <c r="L12" s="9" t="n">
        <f aca="false">(F12+H12)/B12</f>
        <v>455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63059.64</v>
      </c>
      <c r="D13" s="9" t="n">
        <v>35945</v>
      </c>
      <c r="E13" s="9" t="n">
        <v>12265</v>
      </c>
      <c r="F13" s="9"/>
      <c r="G13" s="9" t="n">
        <v>7951.03</v>
      </c>
      <c r="H13" s="9" t="n">
        <v>2700</v>
      </c>
      <c r="I13" s="9" t="n">
        <v>4198.61</v>
      </c>
      <c r="J13" s="9"/>
      <c r="K13" s="9" t="n">
        <f aca="false">(D13+E13+J13+G13+I13)/B13</f>
        <v>10127.4563758389</v>
      </c>
      <c r="L13" s="9" t="n">
        <f aca="false">(F13+H13)/B13</f>
        <v>453.020134228188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3</v>
      </c>
      <c r="C14" s="9" t="n">
        <f aca="false">+D14+E14+F14+G14+H14+I14+J14</f>
        <v>62287.79</v>
      </c>
      <c r="D14" s="9" t="n">
        <v>38041</v>
      </c>
      <c r="E14" s="9" t="n">
        <v>5000</v>
      </c>
      <c r="F14" s="9" t="n">
        <v>5670</v>
      </c>
      <c r="G14" s="9" t="n">
        <v>7036.24</v>
      </c>
      <c r="H14" s="9" t="n">
        <v>1970</v>
      </c>
      <c r="I14" s="9" t="n">
        <v>4570.55</v>
      </c>
      <c r="J14" s="9"/>
      <c r="K14" s="9" t="n">
        <f aca="false">(D14+E14+J14+G14+I14)/B14</f>
        <v>18215.93</v>
      </c>
      <c r="L14" s="9" t="n">
        <f aca="false">(F14+H14)/B14</f>
        <v>2546.66666666667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111932.12</v>
      </c>
      <c r="D15" s="9" t="n">
        <v>72450</v>
      </c>
      <c r="E15" s="9" t="n">
        <v>16000</v>
      </c>
      <c r="F15" s="9"/>
      <c r="G15" s="9" t="n">
        <v>7074.05</v>
      </c>
      <c r="H15" s="9" t="n">
        <v>2705</v>
      </c>
      <c r="I15" s="9" t="n">
        <v>13703.07</v>
      </c>
      <c r="J15" s="9"/>
      <c r="K15" s="9" t="n">
        <f aca="false">(D15+E15+J15+G15+I15)/B15</f>
        <v>20492.8930581614</v>
      </c>
      <c r="L15" s="9" t="n">
        <f aca="false">(F15+H15)/B15</f>
        <v>507.50469043152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190696.5</v>
      </c>
      <c r="D16" s="9" t="n">
        <v>119202</v>
      </c>
      <c r="E16" s="9" t="n">
        <v>26745</v>
      </c>
      <c r="F16" s="9"/>
      <c r="G16" s="9" t="n">
        <v>10756.26</v>
      </c>
      <c r="H16" s="9" t="n">
        <v>7021</v>
      </c>
      <c r="I16" s="9" t="n">
        <v>26972.24</v>
      </c>
      <c r="J16" s="9"/>
      <c r="K16" s="9" t="n">
        <f aca="false">(D16+E16+J16+G16+I16)/B16</f>
        <v>17832.572815534</v>
      </c>
      <c r="L16" s="9" t="n">
        <f aca="false">(F16+H16)/B16</f>
        <v>681.650485436893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100584.91</v>
      </c>
      <c r="D17" s="9" t="n">
        <v>54282</v>
      </c>
      <c r="E17" s="9" t="n">
        <v>13470</v>
      </c>
      <c r="F17" s="9"/>
      <c r="G17" s="9" t="n">
        <v>14601.02</v>
      </c>
      <c r="H17" s="9" t="n">
        <v>3108</v>
      </c>
      <c r="I17" s="9" t="n">
        <v>13123.89</v>
      </c>
      <c r="J17" s="9" t="n">
        <v>2000</v>
      </c>
      <c r="K17" s="9" t="n">
        <f aca="false">(D17+E17+J17+G17+I17)/B17</f>
        <v>16246.1516666667</v>
      </c>
      <c r="L17" s="9" t="n">
        <f aca="false">(F17+H17)/B17</f>
        <v>518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214932.99</v>
      </c>
      <c r="D18" s="9" t="n">
        <v>127621</v>
      </c>
      <c r="E18" s="9" t="n">
        <v>35650</v>
      </c>
      <c r="F18" s="9"/>
      <c r="G18" s="9" t="n">
        <v>15694.43</v>
      </c>
      <c r="H18" s="9" t="n">
        <v>8878</v>
      </c>
      <c r="I18" s="9" t="n">
        <v>27089.56</v>
      </c>
      <c r="J18" s="9"/>
      <c r="K18" s="9" t="n">
        <f aca="false">(D18+E18+J18+G18+I18)/B18</f>
        <v>21920.7436170213</v>
      </c>
      <c r="L18" s="9" t="n">
        <f aca="false">(F18+H18)/B18</f>
        <v>944.468085106383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124331.18</v>
      </c>
      <c r="D19" s="9" t="n">
        <v>75039</v>
      </c>
      <c r="E19" s="9" t="n">
        <v>22950</v>
      </c>
      <c r="F19" s="9"/>
      <c r="G19" s="9" t="n">
        <v>8865.59</v>
      </c>
      <c r="H19" s="9" t="n">
        <v>3340</v>
      </c>
      <c r="I19" s="9" t="n">
        <v>14136.59</v>
      </c>
      <c r="J19" s="9"/>
      <c r="K19" s="9" t="n">
        <f aca="false">(D19+E19+J19+G19+I19)/B19</f>
        <v>20165.1966666667</v>
      </c>
      <c r="L19" s="9" t="n">
        <f aca="false">(F19+H19)/B19</f>
        <v>556.666666666667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56007.71</v>
      </c>
      <c r="D20" s="9" t="n">
        <v>27895</v>
      </c>
      <c r="E20" s="9"/>
      <c r="F20" s="9"/>
      <c r="G20" s="9" t="n">
        <v>16310.83</v>
      </c>
      <c r="H20" s="9" t="n">
        <v>3316</v>
      </c>
      <c r="I20" s="9" t="n">
        <v>8485.88</v>
      </c>
      <c r="J20" s="9"/>
      <c r="K20" s="9" t="n">
        <f aca="false">(D20+E20+J20+G20+I20)/B20</f>
        <v>9409.23392857143</v>
      </c>
      <c r="L20" s="9" t="n">
        <f aca="false">(F20+H20)/B20</f>
        <v>592.142857142857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83899.08</v>
      </c>
      <c r="D21" s="9" t="n">
        <v>31527</v>
      </c>
      <c r="E21" s="9" t="n">
        <v>19250</v>
      </c>
      <c r="F21" s="9"/>
      <c r="G21" s="9" t="n">
        <v>18489.26</v>
      </c>
      <c r="H21" s="9" t="n">
        <v>4108</v>
      </c>
      <c r="I21" s="9" t="n">
        <v>10524.82</v>
      </c>
      <c r="J21" s="9"/>
      <c r="K21" s="9" t="n">
        <f aca="false">(D21+E21+J21+G21+I21)/B21</f>
        <v>10782.5783783784</v>
      </c>
      <c r="L21" s="9" t="n">
        <f aca="false">(F21+H21)/B21</f>
        <v>555.135135135135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137700.3</v>
      </c>
      <c r="D22" s="9" t="n">
        <v>82430</v>
      </c>
      <c r="E22" s="9" t="n">
        <v>16450</v>
      </c>
      <c r="F22" s="9"/>
      <c r="G22" s="9" t="n">
        <v>16497.27</v>
      </c>
      <c r="H22" s="9" t="n">
        <v>9389</v>
      </c>
      <c r="I22" s="9" t="n">
        <v>12934.03</v>
      </c>
      <c r="J22" s="9"/>
      <c r="K22" s="9" t="n">
        <f aca="false">(D22+E22+J22+G22+I22)/B22</f>
        <v>15590.6804374241</v>
      </c>
      <c r="L22" s="9" t="n">
        <f aca="false">(F22+H22)/B22</f>
        <v>1140.8262454435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44856.09</v>
      </c>
      <c r="D23" s="9" t="n">
        <v>30170</v>
      </c>
      <c r="E23" s="9" t="n">
        <v>6225</v>
      </c>
      <c r="F23" s="9"/>
      <c r="G23" s="9" t="n">
        <v>3238.91</v>
      </c>
      <c r="H23" s="9" t="n">
        <v>4780</v>
      </c>
      <c r="I23" s="9" t="n">
        <v>442.18</v>
      </c>
      <c r="J23" s="9"/>
      <c r="K23" s="9" t="n">
        <f aca="false">(D23+E23+J23+G23+I23)/B23</f>
        <v>7561.52641509434</v>
      </c>
      <c r="L23" s="9" t="n">
        <f aca="false">(F23+H23)/B23</f>
        <v>901.88679245283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349846.38</v>
      </c>
      <c r="D24" s="9" t="n">
        <v>182055</v>
      </c>
      <c r="E24" s="9" t="n">
        <v>64095</v>
      </c>
      <c r="F24" s="20" t="n">
        <v>46150</v>
      </c>
      <c r="G24" s="9" t="n">
        <v>26357.84</v>
      </c>
      <c r="H24" s="9" t="n">
        <v>5966</v>
      </c>
      <c r="I24" s="9" t="n">
        <v>25222.54</v>
      </c>
      <c r="J24" s="9"/>
      <c r="K24" s="9" t="n">
        <f aca="false">(D24+E24+J24+G24+I24)/B24</f>
        <v>11957.043373494</v>
      </c>
      <c r="L24" s="9" t="n">
        <f aca="false">(F24+H24)/B24</f>
        <v>2093.01204819277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173079.19</v>
      </c>
      <c r="D25" s="9" t="n">
        <v>84015</v>
      </c>
      <c r="E25" s="9" t="n">
        <v>40615</v>
      </c>
      <c r="F25" s="9"/>
      <c r="G25" s="9" t="n">
        <v>21191.22</v>
      </c>
      <c r="H25" s="9" t="n">
        <v>6040</v>
      </c>
      <c r="I25" s="9" t="n">
        <v>21217.97</v>
      </c>
      <c r="J25" s="9"/>
      <c r="K25" s="9" t="n">
        <f aca="false">(D25+E25+J25+G25+I25)/B25</f>
        <v>15395.3170506912</v>
      </c>
      <c r="L25" s="9" t="n">
        <f aca="false">(F25+H25)/B25</f>
        <v>556.68202764977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33667.41</v>
      </c>
      <c r="D26" s="9" t="n">
        <v>8130</v>
      </c>
      <c r="E26" s="9" t="n">
        <v>7535</v>
      </c>
      <c r="F26" s="9"/>
      <c r="G26" s="9" t="n">
        <v>7362.09</v>
      </c>
      <c r="H26" s="9" t="n">
        <v>3010</v>
      </c>
      <c r="I26" s="9" t="n">
        <v>7630.32</v>
      </c>
      <c r="J26" s="9"/>
      <c r="K26" s="9" t="n">
        <f aca="false">(D26+E26+J26+G26+I26)/B26</f>
        <v>8784.35816618911</v>
      </c>
      <c r="L26" s="9" t="n">
        <f aca="false">(F26+H26)/B26</f>
        <v>862.464183381089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90053.22</v>
      </c>
      <c r="D27" s="9" t="n">
        <v>56015</v>
      </c>
      <c r="E27" s="9" t="n">
        <v>11950</v>
      </c>
      <c r="F27" s="9"/>
      <c r="G27" s="9" t="n">
        <v>10711.92</v>
      </c>
      <c r="H27" s="9" t="n">
        <v>1675</v>
      </c>
      <c r="I27" s="9" t="n">
        <v>9701.3</v>
      </c>
      <c r="J27" s="9"/>
      <c r="K27" s="9" t="n">
        <f aca="false">(D27+E27+J27+G27+I27)/B27</f>
        <v>15924.0036036036</v>
      </c>
      <c r="L27" s="9" t="n">
        <f aca="false">(F27+H27)/B27</f>
        <v>301.801801801802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92212.18</v>
      </c>
      <c r="D28" s="9" t="n">
        <v>59736</v>
      </c>
      <c r="E28" s="9" t="n">
        <v>13770</v>
      </c>
      <c r="F28" s="9"/>
      <c r="G28" s="9" t="n">
        <v>8084.84</v>
      </c>
      <c r="H28" s="9" t="n">
        <v>1675</v>
      </c>
      <c r="I28" s="9" t="n">
        <v>8946.34</v>
      </c>
      <c r="J28" s="9"/>
      <c r="K28" s="9" t="n">
        <f aca="false">(D28+E28+J28+G28+I28)/B28</f>
        <v>15039.3986710963</v>
      </c>
      <c r="L28" s="9" t="n">
        <f aca="false">(F28+H28)/B28</f>
        <v>278.239202657807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148540.3</v>
      </c>
      <c r="D29" s="9" t="n">
        <v>88098</v>
      </c>
      <c r="E29" s="9" t="n">
        <v>30050</v>
      </c>
      <c r="F29" s="9"/>
      <c r="G29" s="9" t="n">
        <v>13194.98</v>
      </c>
      <c r="H29" s="9" t="n">
        <v>2889</v>
      </c>
      <c r="I29" s="9" t="n">
        <v>14308.32</v>
      </c>
      <c r="J29" s="9"/>
      <c r="K29" s="9" t="n">
        <f aca="false">(D29+E29+J29+G29+I29)/B29</f>
        <v>12665.3304347826</v>
      </c>
      <c r="L29" s="9" t="n">
        <f aca="false">(F29+H29)/B29</f>
        <v>251.217391304348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75340.53</v>
      </c>
      <c r="D30" s="26" t="n">
        <v>31821</v>
      </c>
      <c r="E30" s="9" t="n">
        <v>16100</v>
      </c>
      <c r="F30" s="9"/>
      <c r="G30" s="9" t="n">
        <v>12018.81</v>
      </c>
      <c r="H30" s="9" t="n">
        <v>2641</v>
      </c>
      <c r="I30" s="9" t="n">
        <v>12759.72</v>
      </c>
      <c r="J30" s="9"/>
      <c r="K30" s="9" t="n">
        <f aca="false">(D30+E30+J30+G30+I30)/B30</f>
        <v>11725.7306451613</v>
      </c>
      <c r="L30" s="9" t="n">
        <f aca="false">(F30+H30)/B30</f>
        <v>425.967741935484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69742.08</v>
      </c>
      <c r="D31" s="9" t="n">
        <v>42415</v>
      </c>
      <c r="E31" s="9" t="n">
        <v>6000</v>
      </c>
      <c r="F31" s="9"/>
      <c r="G31" s="9" t="n">
        <v>10200.08</v>
      </c>
      <c r="H31" s="9" t="n">
        <v>2639</v>
      </c>
      <c r="I31" s="9" t="n">
        <v>8488</v>
      </c>
      <c r="J31" s="9"/>
      <c r="K31" s="9" t="n">
        <f aca="false">(D31+E31+J31+G31+I31)/B31</f>
        <v>12660.958490566</v>
      </c>
      <c r="L31" s="9" t="n">
        <f aca="false">(F31+H31)/B31</f>
        <v>497.924528301887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194865.97</v>
      </c>
      <c r="D32" s="9" t="n">
        <v>112433</v>
      </c>
      <c r="E32" s="9" t="n">
        <v>35800</v>
      </c>
      <c r="F32" s="9"/>
      <c r="G32" s="9" t="n">
        <v>16519.63</v>
      </c>
      <c r="H32" s="9" t="n">
        <v>1900</v>
      </c>
      <c r="I32" s="9" t="n">
        <v>28213.34</v>
      </c>
      <c r="J32" s="9"/>
      <c r="K32" s="9" t="n">
        <f aca="false">(D32+E32+J32+G32+I32)/B32</f>
        <v>13307.9979310345</v>
      </c>
      <c r="L32" s="9" t="n">
        <f aca="false">(F32+H32)/B32</f>
        <v>131.034482758621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pane xSplit="0" ySplit="7" topLeftCell="A11" activePane="bottomLeft" state="frozen"/>
      <selection pane="topLeft" activeCell="A1" activeCellId="0" sqref="A1"/>
      <selection pane="bottomLeft" activeCell="C50" activeCellId="0" sqref="C50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158414.99</v>
      </c>
      <c r="D2" s="9" t="n">
        <v>77549</v>
      </c>
      <c r="E2" s="9" t="n">
        <v>25200</v>
      </c>
      <c r="F2" s="9" t="n">
        <v>1990</v>
      </c>
      <c r="G2" s="9" t="n">
        <v>24157.01</v>
      </c>
      <c r="H2" s="9" t="n">
        <v>7840</v>
      </c>
      <c r="I2" s="9" t="n">
        <v>21678.98</v>
      </c>
      <c r="J2" s="9"/>
      <c r="K2" s="9" t="n">
        <f aca="false">(D2+E2+J2+G2+I2)/B2</f>
        <v>15413.3807053942</v>
      </c>
      <c r="L2" s="9" t="n">
        <f aca="false">(F2+H2)/B2</f>
        <v>1019.70954356846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123351.27</v>
      </c>
      <c r="D3" s="9" t="n">
        <v>89985</v>
      </c>
      <c r="E3" s="9" t="n">
        <v>14700</v>
      </c>
      <c r="F3" s="9" t="n">
        <v>800</v>
      </c>
      <c r="G3" s="9" t="n">
        <v>10691</v>
      </c>
      <c r="H3" s="9"/>
      <c r="I3" s="9" t="n">
        <v>7175.27</v>
      </c>
      <c r="J3" s="9"/>
      <c r="K3" s="9" t="n">
        <f aca="false">(D3+E3+J3+G3+I3)/B3</f>
        <v>14086.3528735632</v>
      </c>
      <c r="L3" s="9" t="n">
        <f aca="false">(F3+H3)/B3</f>
        <v>91.9540229885058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66804.57</v>
      </c>
      <c r="D4" s="9" t="n">
        <v>28970</v>
      </c>
      <c r="E4" s="9" t="n">
        <v>11750</v>
      </c>
      <c r="F4" s="9" t="n">
        <v>10738</v>
      </c>
      <c r="G4" s="9" t="n">
        <v>7987.3</v>
      </c>
      <c r="H4" s="9" t="n">
        <v>184</v>
      </c>
      <c r="I4" s="9" t="n">
        <v>7175.27</v>
      </c>
      <c r="J4" s="9"/>
      <c r="K4" s="9" t="n">
        <f aca="false">(D4+E4+J4+G4+I4)/B4</f>
        <v>8731.6515625</v>
      </c>
      <c r="L4" s="9" t="n">
        <f aca="false">(F4+H4)/B4</f>
        <v>1706.5625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13</v>
      </c>
      <c r="C5" s="9" t="n">
        <f aca="false">+D5+E5+F5+G5+H5+I5+J5</f>
        <v>317281.84</v>
      </c>
      <c r="D5" s="9" t="n">
        <v>191983</v>
      </c>
      <c r="E5" s="9" t="n">
        <v>47050</v>
      </c>
      <c r="F5" s="9"/>
      <c r="G5" s="9" t="n">
        <v>28359.41</v>
      </c>
      <c r="H5" s="9" t="n">
        <v>1179</v>
      </c>
      <c r="I5" s="9" t="n">
        <v>48710.43</v>
      </c>
      <c r="J5" s="9"/>
      <c r="K5" s="9" t="n">
        <f aca="false">(D5+E5+J5+G5+I5)/B5</f>
        <v>24315.6030769231</v>
      </c>
      <c r="L5" s="9" t="n">
        <f aca="false">(F5+H5)/B5</f>
        <v>90.6923076923077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89689.34</v>
      </c>
      <c r="D6" s="9" t="n">
        <v>41693</v>
      </c>
      <c r="E6" s="9" t="n">
        <v>21161</v>
      </c>
      <c r="F6" s="9"/>
      <c r="G6" s="9" t="n">
        <v>12395.48</v>
      </c>
      <c r="H6" s="9"/>
      <c r="I6" s="9" t="n">
        <v>14439.86</v>
      </c>
      <c r="J6" s="9"/>
      <c r="K6" s="9" t="n">
        <f aca="false">(D6+E6+J6+G6+I6)/B6</f>
        <v>13798.36</v>
      </c>
      <c r="L6" s="9" t="n">
        <f aca="false">(F6+H6)/B6</f>
        <v>0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151315.67</v>
      </c>
      <c r="D7" s="9" t="n">
        <v>80419</v>
      </c>
      <c r="E7" s="9" t="n">
        <v>33795</v>
      </c>
      <c r="F7" s="9"/>
      <c r="G7" s="9" t="n">
        <v>17544.2</v>
      </c>
      <c r="H7" s="9" t="n">
        <v>1650</v>
      </c>
      <c r="I7" s="9" t="n">
        <v>17907.47</v>
      </c>
      <c r="J7" s="9"/>
      <c r="K7" s="9" t="n">
        <f aca="false">(D7+E7+J7+G7+I7)/B7</f>
        <v>13974.385620915</v>
      </c>
      <c r="L7" s="9" t="n">
        <f aca="false">(F7+H7)/B7</f>
        <v>154.06162464986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141855.88</v>
      </c>
      <c r="D8" s="9" t="n">
        <v>90361</v>
      </c>
      <c r="E8" s="9" t="n">
        <v>22900</v>
      </c>
      <c r="F8" s="9"/>
      <c r="G8" s="9" t="n">
        <v>10116.8</v>
      </c>
      <c r="H8" s="9"/>
      <c r="I8" s="9" t="n">
        <v>18478.08</v>
      </c>
      <c r="J8" s="9"/>
      <c r="K8" s="9" t="n">
        <f aca="false">(D8+E8+J8+G8+I8)/B8</f>
        <v>19647.6288088643</v>
      </c>
      <c r="L8" s="9" t="n">
        <f aca="false">(F8+H8)/B8</f>
        <v>0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142347.93</v>
      </c>
      <c r="D9" s="9" t="n">
        <v>93196</v>
      </c>
      <c r="E9" s="9" t="n">
        <v>7536</v>
      </c>
      <c r="F9" s="9"/>
      <c r="G9" s="9" t="n">
        <v>20795.76</v>
      </c>
      <c r="H9" s="9" t="n">
        <v>3037</v>
      </c>
      <c r="I9" s="9" t="n">
        <v>17783.17</v>
      </c>
      <c r="J9" s="9"/>
      <c r="K9" s="9" t="n">
        <f aca="false">(D9+E9+J9+G9+I9)/B9</f>
        <v>11756.1966244726</v>
      </c>
      <c r="L9" s="9" t="n">
        <f aca="false">(F9+H9)/B9</f>
        <v>256.286919831224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326176.79</v>
      </c>
      <c r="D10" s="9" t="n">
        <v>161041</v>
      </c>
      <c r="E10" s="9" t="n">
        <v>30400</v>
      </c>
      <c r="F10" s="9"/>
      <c r="G10" s="9" t="n">
        <v>19810.81</v>
      </c>
      <c r="H10" s="9" t="n">
        <v>86280</v>
      </c>
      <c r="I10" s="9" t="n">
        <v>28644.98</v>
      </c>
      <c r="J10" s="9"/>
      <c r="K10" s="9" t="n">
        <f aca="false">(D10+E10+J10+G10+I10)/B10</f>
        <v>17383.8253623188</v>
      </c>
      <c r="L10" s="9" t="n">
        <f aca="false">(F10+H10)/B10</f>
        <v>6252.17391304348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134186.9</v>
      </c>
      <c r="D11" s="9" t="n">
        <v>95098</v>
      </c>
      <c r="E11" s="9" t="n">
        <v>15122</v>
      </c>
      <c r="F11" s="9"/>
      <c r="G11" s="9" t="n">
        <v>8011.97</v>
      </c>
      <c r="H11" s="9"/>
      <c r="I11" s="9" t="n">
        <v>15954.93</v>
      </c>
      <c r="J11" s="9"/>
      <c r="K11" s="9" t="n">
        <f aca="false">(D11+E11+J11+G11+I11)/B11</f>
        <v>17656.1710526316</v>
      </c>
      <c r="L11" s="9" t="n">
        <f aca="false">(F11+H11)/B11</f>
        <v>0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191377.7</v>
      </c>
      <c r="D12" s="9" t="n">
        <v>106101</v>
      </c>
      <c r="E12" s="9" t="n">
        <v>45120</v>
      </c>
      <c r="F12" s="9"/>
      <c r="G12" s="9" t="n">
        <v>17555.08</v>
      </c>
      <c r="H12" s="9"/>
      <c r="I12" s="9" t="n">
        <v>22601.62</v>
      </c>
      <c r="J12" s="9"/>
      <c r="K12" s="9" t="n">
        <f aca="false">(D12+E12+J12+G12+I12)/B12</f>
        <v>13669.8357142857</v>
      </c>
      <c r="L12" s="9" t="n">
        <f aca="false">(F12+H12)/B12</f>
        <v>0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62911.64</v>
      </c>
      <c r="D13" s="9" t="n">
        <v>38275</v>
      </c>
      <c r="E13" s="9" t="n">
        <v>12265</v>
      </c>
      <c r="F13" s="9"/>
      <c r="G13" s="9" t="n">
        <v>7951.03</v>
      </c>
      <c r="H13" s="9" t="n">
        <v>222</v>
      </c>
      <c r="I13" s="9" t="n">
        <v>4198.61</v>
      </c>
      <c r="J13" s="9"/>
      <c r="K13" s="9" t="n">
        <f aca="false">(D13+E13+J13+G13+I13)/B13</f>
        <v>10518.3959731544</v>
      </c>
      <c r="L13" s="9" t="n">
        <f aca="false">(F13+H13)/B13</f>
        <v>37.248322147651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30680.79</v>
      </c>
      <c r="D14" s="9" t="n">
        <v>15824</v>
      </c>
      <c r="E14" s="9" t="n">
        <v>3250</v>
      </c>
      <c r="F14" s="9"/>
      <c r="G14" s="9" t="n">
        <v>7036.24</v>
      </c>
      <c r="H14" s="9"/>
      <c r="I14" s="9" t="n">
        <v>4570.55</v>
      </c>
      <c r="J14" s="9"/>
      <c r="K14" s="9" t="n">
        <f aca="false">(D14+E14+J14+G14+I14)/B14</f>
        <v>6972.90681818182</v>
      </c>
      <c r="L14" s="9" t="n">
        <f aca="false">(F14+H14)/B14</f>
        <v>0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102335.12</v>
      </c>
      <c r="D15" s="9" t="n">
        <v>65360</v>
      </c>
      <c r="E15" s="9" t="n">
        <v>16000</v>
      </c>
      <c r="F15" s="9"/>
      <c r="G15" s="9" t="n">
        <v>7074.05</v>
      </c>
      <c r="H15" s="9" t="n">
        <v>198</v>
      </c>
      <c r="I15" s="9" t="n">
        <v>13703.07</v>
      </c>
      <c r="J15" s="9"/>
      <c r="K15" s="9" t="n">
        <f aca="false">(D15+E15+J15+G15+I15)/B15</f>
        <v>19162.6866791745</v>
      </c>
      <c r="L15" s="9" t="n">
        <f aca="false">(F15+H15)/B15</f>
        <v>37.1482176360225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168378.5</v>
      </c>
      <c r="D16" s="9" t="n">
        <v>104205</v>
      </c>
      <c r="E16" s="9" t="n">
        <v>26445</v>
      </c>
      <c r="F16" s="9"/>
      <c r="G16" s="9" t="n">
        <v>10756.26</v>
      </c>
      <c r="H16" s="9"/>
      <c r="I16" s="9" t="n">
        <v>26972.24</v>
      </c>
      <c r="J16" s="9"/>
      <c r="K16" s="9" t="n">
        <f aca="false">(D16+E16+J16+G16+I16)/B16</f>
        <v>16347.427184466</v>
      </c>
      <c r="L16" s="9" t="n">
        <f aca="false">(F16+H16)/B16</f>
        <v>0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96462.91</v>
      </c>
      <c r="D17" s="9" t="n">
        <v>55521</v>
      </c>
      <c r="E17" s="9" t="n">
        <v>13217</v>
      </c>
      <c r="F17" s="9"/>
      <c r="G17" s="9" t="n">
        <v>14601.02</v>
      </c>
      <c r="H17" s="9"/>
      <c r="I17" s="9" t="n">
        <v>13123.89</v>
      </c>
      <c r="J17" s="9"/>
      <c r="K17" s="9" t="n">
        <f aca="false">(D17+E17+J17+G17+I17)/B17</f>
        <v>16077.1516666667</v>
      </c>
      <c r="L17" s="9" t="n">
        <f aca="false">(F17+H17)/B17</f>
        <v>0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190891.99</v>
      </c>
      <c r="D18" s="9" t="n">
        <v>115198</v>
      </c>
      <c r="E18" s="9" t="n">
        <v>32910</v>
      </c>
      <c r="F18" s="9"/>
      <c r="G18" s="9" t="n">
        <v>15694.43</v>
      </c>
      <c r="H18" s="9"/>
      <c r="I18" s="9" t="n">
        <v>27089.56</v>
      </c>
      <c r="J18" s="9"/>
      <c r="K18" s="9" t="n">
        <f aca="false">(D18+E18+J18+G18+I18)/B18</f>
        <v>20307.6585106383</v>
      </c>
      <c r="L18" s="9" t="n">
        <f aca="false">(F18+H18)/B18</f>
        <v>0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130874.18</v>
      </c>
      <c r="D19" s="9" t="n">
        <v>84372</v>
      </c>
      <c r="E19" s="9" t="n">
        <v>23500</v>
      </c>
      <c r="F19" s="9"/>
      <c r="G19" s="9" t="n">
        <v>8865.59</v>
      </c>
      <c r="H19" s="9"/>
      <c r="I19" s="9" t="n">
        <v>14136.59</v>
      </c>
      <c r="J19" s="9"/>
      <c r="K19" s="9" t="n">
        <f aca="false">(D19+E19+J19+G19+I19)/B19</f>
        <v>21812.3633333333</v>
      </c>
      <c r="L19" s="9" t="n">
        <f aca="false">(F19+H19)/B19</f>
        <v>0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49861.71</v>
      </c>
      <c r="D20" s="9" t="n">
        <v>23525</v>
      </c>
      <c r="E20" s="9" t="n">
        <v>1540</v>
      </c>
      <c r="F20" s="9"/>
      <c r="G20" s="9" t="n">
        <v>16310.83</v>
      </c>
      <c r="H20" s="9"/>
      <c r="I20" s="9" t="n">
        <v>8485.88</v>
      </c>
      <c r="J20" s="9"/>
      <c r="K20" s="9" t="n">
        <f aca="false">(D20+E20+J20+G20+I20)/B20</f>
        <v>8903.87678571429</v>
      </c>
      <c r="L20" s="9" t="n">
        <f aca="false">(F20+H20)/B20</f>
        <v>0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82667.08</v>
      </c>
      <c r="D21" s="9" t="n">
        <v>42633</v>
      </c>
      <c r="E21" s="9" t="n">
        <v>11020</v>
      </c>
      <c r="F21" s="9"/>
      <c r="G21" s="9" t="n">
        <v>18489.26</v>
      </c>
      <c r="H21" s="9"/>
      <c r="I21" s="9" t="n">
        <v>10524.82</v>
      </c>
      <c r="J21" s="9"/>
      <c r="K21" s="9" t="n">
        <f aca="false">(D21+E21+J21+G21+I21)/B21</f>
        <v>11171.227027027</v>
      </c>
      <c r="L21" s="9" t="n">
        <f aca="false">(F21+H21)/B21</f>
        <v>0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139781.3</v>
      </c>
      <c r="D22" s="9" t="n">
        <v>98050</v>
      </c>
      <c r="E22" s="9" t="n">
        <v>12300</v>
      </c>
      <c r="F22" s="9"/>
      <c r="G22" s="9" t="n">
        <v>16497.27</v>
      </c>
      <c r="H22" s="9"/>
      <c r="I22" s="9" t="n">
        <v>12934.03</v>
      </c>
      <c r="J22" s="9"/>
      <c r="K22" s="9" t="n">
        <f aca="false">(D22+E22+J22+G22+I22)/B22</f>
        <v>16984.3620899149</v>
      </c>
      <c r="L22" s="9" t="n">
        <f aca="false">(F22+H22)/B22</f>
        <v>0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44651.09</v>
      </c>
      <c r="D23" s="9" t="n">
        <v>34045</v>
      </c>
      <c r="E23" s="9" t="n">
        <v>6925</v>
      </c>
      <c r="F23" s="9"/>
      <c r="G23" s="9" t="n">
        <v>3238.91</v>
      </c>
      <c r="H23" s="9"/>
      <c r="I23" s="9" t="n">
        <v>442.18</v>
      </c>
      <c r="J23" s="9"/>
      <c r="K23" s="9" t="n">
        <f aca="false">(D23+E23+J23+G23+I23)/B23</f>
        <v>8424.73396226415</v>
      </c>
      <c r="L23" s="9" t="n">
        <f aca="false">(F23+H23)/B23</f>
        <v>0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322496.38</v>
      </c>
      <c r="D24" s="9" t="n">
        <v>187671</v>
      </c>
      <c r="E24" s="9" t="n">
        <v>60685</v>
      </c>
      <c r="F24" s="20" t="n">
        <v>17340</v>
      </c>
      <c r="G24" s="9" t="n">
        <v>26357.84</v>
      </c>
      <c r="H24" s="9" t="n">
        <v>5220</v>
      </c>
      <c r="I24" s="9" t="n">
        <v>25222.54</v>
      </c>
      <c r="J24" s="9"/>
      <c r="K24" s="9" t="n">
        <f aca="false">(D24+E24+J24+G24+I24)/B24</f>
        <v>12045.637751004</v>
      </c>
      <c r="L24" s="9" t="n">
        <f aca="false">(F24+H24)/B24</f>
        <v>906.024096385542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181244.19</v>
      </c>
      <c r="D25" s="9" t="n">
        <v>98360</v>
      </c>
      <c r="E25" s="9" t="n">
        <v>40475</v>
      </c>
      <c r="F25" s="9"/>
      <c r="G25" s="9" t="n">
        <v>21191.22</v>
      </c>
      <c r="H25" s="9"/>
      <c r="I25" s="9" t="n">
        <v>21217.97</v>
      </c>
      <c r="J25" s="9"/>
      <c r="K25" s="9" t="n">
        <f aca="false">(D25+E25+J25+G25+I25)/B25</f>
        <v>16704.533640553</v>
      </c>
      <c r="L25" s="9" t="n">
        <f aca="false">(F25+H25)/B25</f>
        <v>0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32542.41</v>
      </c>
      <c r="D26" s="9" t="n">
        <v>9120</v>
      </c>
      <c r="E26" s="9" t="n">
        <v>8430</v>
      </c>
      <c r="F26" s="9"/>
      <c r="G26" s="9" t="n">
        <v>7362.09</v>
      </c>
      <c r="H26" s="9"/>
      <c r="I26" s="9" t="n">
        <v>7630.32</v>
      </c>
      <c r="J26" s="9"/>
      <c r="K26" s="9" t="n">
        <f aca="false">(D26+E26+J26+G26+I26)/B26</f>
        <v>9324.47277936963</v>
      </c>
      <c r="L26" s="9" t="n">
        <f aca="false">(F26+H26)/B26</f>
        <v>0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74088.22</v>
      </c>
      <c r="D27" s="9" t="n">
        <v>40305</v>
      </c>
      <c r="E27" s="9" t="n">
        <v>13370</v>
      </c>
      <c r="F27" s="9"/>
      <c r="G27" s="9" t="n">
        <v>10711.92</v>
      </c>
      <c r="H27" s="9"/>
      <c r="I27" s="9" t="n">
        <v>9701.3</v>
      </c>
      <c r="J27" s="9"/>
      <c r="K27" s="9" t="n">
        <f aca="false">(D27+E27+J27+G27+I27)/B27</f>
        <v>13349.2288288288</v>
      </c>
      <c r="L27" s="9" t="n">
        <f aca="false">(F27+H27)/B27</f>
        <v>0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78296.18</v>
      </c>
      <c r="D28" s="9" t="n">
        <v>44995</v>
      </c>
      <c r="E28" s="9" t="n">
        <v>16270</v>
      </c>
      <c r="F28" s="9"/>
      <c r="G28" s="9" t="n">
        <v>8084.84</v>
      </c>
      <c r="H28" s="9"/>
      <c r="I28" s="9" t="n">
        <v>8946.34</v>
      </c>
      <c r="J28" s="9"/>
      <c r="K28" s="9" t="n">
        <f aca="false">(D28+E28+J28+G28+I28)/B28</f>
        <v>13006.0099667774</v>
      </c>
      <c r="L28" s="9" t="n">
        <f aca="false">(F28+H28)/B28</f>
        <v>0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156729.3</v>
      </c>
      <c r="D29" s="9" t="n">
        <v>98276</v>
      </c>
      <c r="E29" s="9" t="n">
        <v>30950</v>
      </c>
      <c r="F29" s="9"/>
      <c r="G29" s="9" t="n">
        <v>13194.98</v>
      </c>
      <c r="H29" s="9"/>
      <c r="I29" s="9" t="n">
        <v>14308.32</v>
      </c>
      <c r="J29" s="9"/>
      <c r="K29" s="9" t="n">
        <f aca="false">(D29+E29+J29+G29+I29)/B29</f>
        <v>13628.6347826087</v>
      </c>
      <c r="L29" s="9" t="n">
        <f aca="false">(F29+H29)/B29</f>
        <v>0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78337.53</v>
      </c>
      <c r="D30" s="26" t="n">
        <v>37459</v>
      </c>
      <c r="E30" s="9" t="n">
        <v>16100</v>
      </c>
      <c r="F30" s="9"/>
      <c r="G30" s="9" t="n">
        <v>12018.81</v>
      </c>
      <c r="H30" s="9"/>
      <c r="I30" s="9" t="n">
        <v>12759.72</v>
      </c>
      <c r="J30" s="9"/>
      <c r="K30" s="9" t="n">
        <f aca="false">(D30+E30+J30+G30+I30)/B30</f>
        <v>12635.085483871</v>
      </c>
      <c r="L30" s="9" t="n">
        <f aca="false">(F30+H30)/B30</f>
        <v>0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71351.08</v>
      </c>
      <c r="D31" s="9" t="n">
        <v>45895</v>
      </c>
      <c r="E31" s="9" t="n">
        <v>6000</v>
      </c>
      <c r="F31" s="9"/>
      <c r="G31" s="9" t="n">
        <v>10200.08</v>
      </c>
      <c r="H31" s="9" t="n">
        <v>768</v>
      </c>
      <c r="I31" s="9" t="n">
        <v>8488</v>
      </c>
      <c r="J31" s="9"/>
      <c r="K31" s="9" t="n">
        <f aca="false">(D31+E31+J31+G31+I31)/B31</f>
        <v>13317.5622641509</v>
      </c>
      <c r="L31" s="9" t="n">
        <f aca="false">(F31+H31)/B31</f>
        <v>144.905660377359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229787.97</v>
      </c>
      <c r="D32" s="9" t="n">
        <v>142730</v>
      </c>
      <c r="E32" s="9" t="n">
        <v>36400</v>
      </c>
      <c r="F32" s="9"/>
      <c r="G32" s="9" t="n">
        <v>16519.63</v>
      </c>
      <c r="H32" s="9" t="n">
        <v>5925</v>
      </c>
      <c r="I32" s="9" t="n">
        <v>28213.34</v>
      </c>
      <c r="J32" s="9"/>
      <c r="K32" s="9" t="n">
        <f aca="false">(D32+E32+J32+G32+I32)/B32</f>
        <v>15438.8255172414</v>
      </c>
      <c r="L32" s="9" t="n">
        <f aca="false">(F32+H32)/B32</f>
        <v>408.620689655172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pane xSplit="0" ySplit="7" topLeftCell="A44" activePane="bottomLeft" state="frozen"/>
      <selection pane="topLeft" activeCell="A1" activeCellId="0" sqref="A1"/>
      <selection pane="bottomLeft" activeCell="A45" activeCellId="0" sqref="A45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141633.07</v>
      </c>
      <c r="D2" s="9" t="n">
        <v>66361</v>
      </c>
      <c r="E2" s="9" t="n">
        <v>25200</v>
      </c>
      <c r="F2" s="9"/>
      <c r="G2" s="9" t="n">
        <v>25410.33</v>
      </c>
      <c r="H2" s="9" t="n">
        <v>1200</v>
      </c>
      <c r="I2" s="9" t="n">
        <v>23461.74</v>
      </c>
      <c r="J2" s="9"/>
      <c r="K2" s="9" t="n">
        <f aca="false">(D2+E2+J2+G2+I2)/B2</f>
        <v>14567.7458506224</v>
      </c>
      <c r="L2" s="9" t="n">
        <f aca="false">(F2+H2)/B2</f>
        <v>124.48132780083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114375.7</v>
      </c>
      <c r="D3" s="9" t="n">
        <v>81090</v>
      </c>
      <c r="E3" s="9" t="n">
        <v>14700</v>
      </c>
      <c r="F3" s="9"/>
      <c r="G3" s="9" t="n">
        <v>9965.84</v>
      </c>
      <c r="H3" s="9" t="n">
        <v>1100</v>
      </c>
      <c r="I3" s="9" t="n">
        <v>7519.86</v>
      </c>
      <c r="J3" s="9"/>
      <c r="K3" s="9" t="n">
        <f aca="false">(D3+E3+J3+G3+I3)/B3</f>
        <v>13020.1954022989</v>
      </c>
      <c r="L3" s="9" t="n">
        <f aca="false">(F3+H3)/B3</f>
        <v>126.436781609195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57380.7</v>
      </c>
      <c r="D4" s="9" t="n">
        <v>28145</v>
      </c>
      <c r="E4" s="9" t="n">
        <v>11750</v>
      </c>
      <c r="F4" s="9"/>
      <c r="G4" s="9" t="n">
        <v>9965.84</v>
      </c>
      <c r="H4" s="9"/>
      <c r="I4" s="9" t="n">
        <v>7519.86</v>
      </c>
      <c r="J4" s="9"/>
      <c r="K4" s="9" t="n">
        <f aca="false">(D4+E4+J4+G4+I4)/B4</f>
        <v>8965.734375</v>
      </c>
      <c r="L4" s="9" t="n">
        <f aca="false">(F4+H4)/B4</f>
        <v>0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13</v>
      </c>
      <c r="C5" s="9" t="n">
        <f aca="false">+D5+E5+F5+G5+H5+I5+J5</f>
        <v>272556.03</v>
      </c>
      <c r="D5" s="9" t="n">
        <v>149813</v>
      </c>
      <c r="E5" s="9" t="n">
        <v>44850</v>
      </c>
      <c r="F5" s="9"/>
      <c r="G5" s="9" t="n">
        <v>24611.93</v>
      </c>
      <c r="H5" s="9"/>
      <c r="I5" s="9" t="n">
        <v>53281.1</v>
      </c>
      <c r="J5" s="9"/>
      <c r="K5" s="9" t="n">
        <f aca="false">(D5+E5+J5+G5+I5)/B5</f>
        <v>20965.8484615385</v>
      </c>
      <c r="L5" s="9" t="n">
        <f aca="false">(F5+H5)/B5</f>
        <v>0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97864.84</v>
      </c>
      <c r="D6" s="9" t="n">
        <v>48385</v>
      </c>
      <c r="E6" s="9" t="n">
        <v>19580</v>
      </c>
      <c r="F6" s="9"/>
      <c r="G6" s="9" t="n">
        <v>13648.8</v>
      </c>
      <c r="H6" s="9" t="n">
        <v>1600</v>
      </c>
      <c r="I6" s="9" t="n">
        <v>14651.04</v>
      </c>
      <c r="J6" s="9"/>
      <c r="K6" s="9" t="n">
        <f aca="false">(D6+E6+J6+G6+I6)/B6</f>
        <v>14809.9753846154</v>
      </c>
      <c r="L6" s="9" t="n">
        <f aca="false">(F6+H6)/B6</f>
        <v>246.153846153846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172888.42</v>
      </c>
      <c r="D7" s="9" t="n">
        <v>74142</v>
      </c>
      <c r="E7" s="9" t="n">
        <v>25225</v>
      </c>
      <c r="F7" s="9"/>
      <c r="G7" s="9" t="n">
        <v>17544.21</v>
      </c>
      <c r="H7" s="9" t="n">
        <v>36072</v>
      </c>
      <c r="I7" s="9" t="n">
        <v>19905.21</v>
      </c>
      <c r="J7" s="9"/>
      <c r="K7" s="9" t="n">
        <f aca="false">(D7+E7+J7+G7+I7)/B7</f>
        <v>12774.6423902894</v>
      </c>
      <c r="L7" s="9" t="n">
        <f aca="false">(F7+H7)/B7</f>
        <v>3368.06722689076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118819.45</v>
      </c>
      <c r="D8" s="9" t="n">
        <v>68158</v>
      </c>
      <c r="E8" s="9" t="n">
        <v>22650</v>
      </c>
      <c r="F8" s="9"/>
      <c r="G8" s="9" t="n">
        <v>8573.05</v>
      </c>
      <c r="H8" s="9" t="n">
        <v>1100</v>
      </c>
      <c r="I8" s="9" t="n">
        <v>18338.4</v>
      </c>
      <c r="J8" s="9"/>
      <c r="K8" s="9" t="n">
        <f aca="false">(D8+E8+J8+G8+I8)/B8</f>
        <v>16304.6329639889</v>
      </c>
      <c r="L8" s="9" t="n">
        <f aca="false">(F8+H8)/B8</f>
        <v>152.354570637119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131804.27</v>
      </c>
      <c r="D9" s="9" t="n">
        <v>64929</v>
      </c>
      <c r="E9" s="9" t="n">
        <v>18050</v>
      </c>
      <c r="F9" s="9"/>
      <c r="G9" s="9" t="n">
        <v>22545.78</v>
      </c>
      <c r="H9" s="9" t="n">
        <v>3850</v>
      </c>
      <c r="I9" s="9" t="n">
        <v>22429.49</v>
      </c>
      <c r="J9" s="9"/>
      <c r="K9" s="9" t="n">
        <f aca="false">(D9+E9+J9+G9+I9)/B9</f>
        <v>10797.8286919831</v>
      </c>
      <c r="L9" s="9" t="n">
        <f aca="false">(F9+H9)/B9</f>
        <v>324.894514767933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227121.38</v>
      </c>
      <c r="D10" s="9" t="n">
        <v>144616</v>
      </c>
      <c r="E10" s="9" t="n">
        <v>30404</v>
      </c>
      <c r="F10" s="9"/>
      <c r="G10" s="9" t="n">
        <v>19810.81</v>
      </c>
      <c r="H10" s="9"/>
      <c r="I10" s="9" t="n">
        <v>32290.57</v>
      </c>
      <c r="J10" s="9"/>
      <c r="K10" s="9" t="n">
        <f aca="false">(D10+E10+J10+G10+I10)/B10</f>
        <v>16458.0710144928</v>
      </c>
      <c r="L10" s="9" t="n">
        <f aca="false">(F10+H10)/B10</f>
        <v>0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110607.11</v>
      </c>
      <c r="D11" s="9" t="n">
        <v>68345</v>
      </c>
      <c r="E11" s="9" t="n">
        <v>14900</v>
      </c>
      <c r="F11" s="9"/>
      <c r="G11" s="9" t="n">
        <v>10262.34</v>
      </c>
      <c r="H11" s="9" t="n">
        <v>550</v>
      </c>
      <c r="I11" s="9" t="n">
        <v>16549.77</v>
      </c>
      <c r="J11" s="9"/>
      <c r="K11" s="9" t="n">
        <f aca="false">(D11+E11+J11+G11+I11)/B11</f>
        <v>14481.1986842105</v>
      </c>
      <c r="L11" s="9" t="n">
        <f aca="false">(F11+H11)/B11</f>
        <v>72.3684210526316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201514.42</v>
      </c>
      <c r="D12" s="9" t="n">
        <v>114326</v>
      </c>
      <c r="E12" s="9" t="n">
        <v>45000</v>
      </c>
      <c r="F12" s="9"/>
      <c r="G12" s="9" t="n">
        <v>17555.08</v>
      </c>
      <c r="H12" s="9" t="n">
        <v>1650</v>
      </c>
      <c r="I12" s="9" t="n">
        <v>22983.34</v>
      </c>
      <c r="J12" s="9"/>
      <c r="K12" s="9" t="n">
        <f aca="false">(D12+E12+J12+G12+I12)/B12</f>
        <v>14276.03</v>
      </c>
      <c r="L12" s="9" t="n">
        <f aca="false">(F12+H12)/B12</f>
        <v>117.857142857143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60435.02</v>
      </c>
      <c r="D13" s="9" t="n">
        <v>35336</v>
      </c>
      <c r="E13" s="9" t="n">
        <v>12265</v>
      </c>
      <c r="F13" s="9"/>
      <c r="G13" s="9" t="n">
        <v>7951.02</v>
      </c>
      <c r="H13" s="9"/>
      <c r="I13" s="9" t="n">
        <v>4883</v>
      </c>
      <c r="J13" s="9"/>
      <c r="K13" s="9" t="n">
        <f aca="false">(D13+E13+J13+G13+I13)/B13</f>
        <v>10140.1040268456</v>
      </c>
      <c r="L13" s="9" t="n">
        <f aca="false">(F13+H13)/B13</f>
        <v>0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34044.44</v>
      </c>
      <c r="D14" s="9" t="n">
        <v>22246</v>
      </c>
      <c r="E14" s="9" t="n">
        <v>3250</v>
      </c>
      <c r="F14" s="9"/>
      <c r="G14" s="9" t="n">
        <v>4891.27</v>
      </c>
      <c r="H14" s="9"/>
      <c r="I14" s="9" t="n">
        <v>3657.17</v>
      </c>
      <c r="J14" s="9"/>
      <c r="K14" s="9" t="n">
        <f aca="false">(D14+E14+J14+G14+I14)/B14</f>
        <v>7737.37272727273</v>
      </c>
      <c r="L14" s="9" t="n">
        <f aca="false">(F14+H14)/B14</f>
        <v>0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88857.1</v>
      </c>
      <c r="D15" s="9" t="n">
        <v>47830</v>
      </c>
      <c r="E15" s="9" t="n">
        <v>16000</v>
      </c>
      <c r="F15" s="9"/>
      <c r="G15" s="9" t="n">
        <v>12497.96</v>
      </c>
      <c r="H15" s="9"/>
      <c r="I15" s="9" t="n">
        <v>12529.14</v>
      </c>
      <c r="J15" s="9"/>
      <c r="K15" s="9" t="n">
        <f aca="false">(D15+E15+J15+G15+I15)/B15</f>
        <v>16671.1257035647</v>
      </c>
      <c r="L15" s="9" t="n">
        <f aca="false">(F15+H15)/B15</f>
        <v>0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146046.06</v>
      </c>
      <c r="D16" s="9" t="n">
        <v>87963</v>
      </c>
      <c r="E16" s="9" t="n">
        <v>20080</v>
      </c>
      <c r="F16" s="9"/>
      <c r="G16" s="9" t="n">
        <v>9005.59</v>
      </c>
      <c r="H16" s="9"/>
      <c r="I16" s="9" t="n">
        <v>28997.47</v>
      </c>
      <c r="J16" s="9"/>
      <c r="K16" s="9" t="n">
        <f aca="false">(D16+E16+J16+G16+I16)/B16</f>
        <v>14179.2291262136</v>
      </c>
      <c r="L16" s="9" t="n">
        <f aca="false">(F16+H16)/B16</f>
        <v>0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97095.25</v>
      </c>
      <c r="D17" s="9" t="n">
        <v>57079</v>
      </c>
      <c r="E17" s="9" t="n">
        <v>10280</v>
      </c>
      <c r="F17" s="9"/>
      <c r="G17" s="9" t="n">
        <v>14675.47</v>
      </c>
      <c r="H17" s="9"/>
      <c r="I17" s="9" t="n">
        <v>15060.78</v>
      </c>
      <c r="J17" s="9"/>
      <c r="K17" s="9" t="n">
        <f aca="false">(D17+E17+J17+G17+I17)/B17</f>
        <v>16182.5416666667</v>
      </c>
      <c r="L17" s="9" t="n">
        <f aca="false">(F17+H17)/B17</f>
        <v>0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182693.08</v>
      </c>
      <c r="D18" s="9" t="n">
        <v>82771</v>
      </c>
      <c r="E18" s="9" t="n">
        <v>27978</v>
      </c>
      <c r="F18" s="9" t="n">
        <v>28260</v>
      </c>
      <c r="G18" s="9" t="n">
        <v>12973.7</v>
      </c>
      <c r="H18" s="9"/>
      <c r="I18" s="9" t="n">
        <v>30710.38</v>
      </c>
      <c r="J18" s="9"/>
      <c r="K18" s="9" t="n">
        <f aca="false">(D18+E18+J18+G18+I18)/B18</f>
        <v>16429.0510638298</v>
      </c>
      <c r="L18" s="9" t="n">
        <f aca="false">(F18+H18)/B18</f>
        <v>3006.3829787234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117518.87</v>
      </c>
      <c r="D19" s="9" t="n">
        <v>67600</v>
      </c>
      <c r="E19" s="9" t="n">
        <v>23200</v>
      </c>
      <c r="F19" s="9"/>
      <c r="G19" s="9" t="n">
        <v>11634.11</v>
      </c>
      <c r="H19" s="9"/>
      <c r="I19" s="9" t="n">
        <v>15084.76</v>
      </c>
      <c r="J19" s="9"/>
      <c r="K19" s="9" t="n">
        <f aca="false">(D19+E19+J19+G19+I19)/B19</f>
        <v>19586.4783333333</v>
      </c>
      <c r="L19" s="9" t="n">
        <f aca="false">(F19+H19)/B19</f>
        <v>0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50482.8</v>
      </c>
      <c r="D20" s="9" t="n">
        <v>23077</v>
      </c>
      <c r="E20" s="9" t="n">
        <v>2475</v>
      </c>
      <c r="F20" s="9"/>
      <c r="G20" s="9" t="n">
        <v>16314.99</v>
      </c>
      <c r="H20" s="9"/>
      <c r="I20" s="9" t="n">
        <v>8615.81</v>
      </c>
      <c r="J20" s="9"/>
      <c r="K20" s="9" t="n">
        <f aca="false">(D20+E20+J20+G20+I20)/B20</f>
        <v>9014.78571428571</v>
      </c>
      <c r="L20" s="9" t="n">
        <f aca="false">(F20+H20)/B20</f>
        <v>0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70139.16</v>
      </c>
      <c r="D21" s="9" t="n">
        <v>30330</v>
      </c>
      <c r="E21" s="9" t="n">
        <v>14250</v>
      </c>
      <c r="F21" s="9"/>
      <c r="G21" s="9" t="n">
        <v>16940.27</v>
      </c>
      <c r="H21" s="9"/>
      <c r="I21" s="9" t="n">
        <v>8618.89</v>
      </c>
      <c r="J21" s="9"/>
      <c r="K21" s="9" t="n">
        <f aca="false">(D21+E21+J21+G21+I21)/B21</f>
        <v>9478.26486486487</v>
      </c>
      <c r="L21" s="9" t="n">
        <f aca="false">(F21+H21)/B21</f>
        <v>0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94342.63</v>
      </c>
      <c r="D22" s="9" t="n">
        <v>58495</v>
      </c>
      <c r="E22" s="9" t="n">
        <v>6300</v>
      </c>
      <c r="F22" s="9"/>
      <c r="G22" s="9" t="n">
        <v>16483.12</v>
      </c>
      <c r="H22" s="9"/>
      <c r="I22" s="9" t="n">
        <v>13064.51</v>
      </c>
      <c r="J22" s="9"/>
      <c r="K22" s="9" t="n">
        <f aca="false">(D22+E22+J22+G22+I22)/B22</f>
        <v>11463.2600243013</v>
      </c>
      <c r="L22" s="9" t="n">
        <f aca="false">(F22+H22)/B22</f>
        <v>0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50439.43</v>
      </c>
      <c r="D23" s="9" t="n">
        <v>37271</v>
      </c>
      <c r="E23" s="9" t="n">
        <v>7725</v>
      </c>
      <c r="F23" s="9"/>
      <c r="G23" s="9" t="n">
        <v>3243.07</v>
      </c>
      <c r="H23" s="9"/>
      <c r="I23" s="9" t="n">
        <v>2200.36</v>
      </c>
      <c r="J23" s="9"/>
      <c r="K23" s="9" t="n">
        <f aca="false">(D23+E23+J23+G23+I23)/B23</f>
        <v>9516.87358490566</v>
      </c>
      <c r="L23" s="9" t="n">
        <f aca="false">(F23+H23)/B23</f>
        <v>0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266681.47</v>
      </c>
      <c r="D24" s="9" t="n">
        <v>155445</v>
      </c>
      <c r="E24" s="9" t="n">
        <v>57000</v>
      </c>
      <c r="F24" s="20"/>
      <c r="G24" s="9" t="n">
        <v>26357.98</v>
      </c>
      <c r="H24" s="9"/>
      <c r="I24" s="9" t="n">
        <v>27878.49</v>
      </c>
      <c r="J24" s="9"/>
      <c r="K24" s="9" t="n">
        <f aca="false">(D24+E24+J24+G24+I24)/B24</f>
        <v>10710.0991967872</v>
      </c>
      <c r="L24" s="9" t="n">
        <f aca="false">(F24+H24)/B24</f>
        <v>0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153372.4</v>
      </c>
      <c r="D25" s="9" t="n">
        <v>81748</v>
      </c>
      <c r="E25" s="9" t="n">
        <v>28510</v>
      </c>
      <c r="F25" s="9"/>
      <c r="G25" s="9" t="n">
        <v>21153.5</v>
      </c>
      <c r="H25" s="9"/>
      <c r="I25" s="9" t="n">
        <v>21960.9</v>
      </c>
      <c r="J25" s="9"/>
      <c r="K25" s="9" t="n">
        <f aca="false">(D25+E25+J25+G25+I25)/B25</f>
        <v>14135.7050691244</v>
      </c>
      <c r="L25" s="9" t="n">
        <f aca="false">(F25+H25)/B25</f>
        <v>0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28428.39</v>
      </c>
      <c r="D26" s="9" t="n">
        <v>8360</v>
      </c>
      <c r="E26" s="9" t="n">
        <v>6925</v>
      </c>
      <c r="F26" s="9"/>
      <c r="G26" s="9" t="n">
        <v>5549.66</v>
      </c>
      <c r="H26" s="9"/>
      <c r="I26" s="9" t="n">
        <v>7593.73</v>
      </c>
      <c r="J26" s="9"/>
      <c r="K26" s="9" t="n">
        <f aca="false">(D26+E26+J26+G26+I26)/B26</f>
        <v>8145.67048710602</v>
      </c>
      <c r="L26" s="9" t="n">
        <f aca="false">(F26+H26)/B26</f>
        <v>0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68112.54</v>
      </c>
      <c r="D27" s="9" t="n">
        <v>36140</v>
      </c>
      <c r="E27" s="9" t="n">
        <v>12470</v>
      </c>
      <c r="F27" s="9"/>
      <c r="G27" s="9" t="n">
        <v>10263.56</v>
      </c>
      <c r="H27" s="9"/>
      <c r="I27" s="9" t="n">
        <v>9238.98</v>
      </c>
      <c r="J27" s="9"/>
      <c r="K27" s="9" t="n">
        <f aca="false">(D27+E27+J27+G27+I27)/B27</f>
        <v>12272.5297297297</v>
      </c>
      <c r="L27" s="9" t="n">
        <f aca="false">(F27+H27)/B27</f>
        <v>0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83124.92</v>
      </c>
      <c r="D28" s="9" t="n">
        <v>47215</v>
      </c>
      <c r="E28" s="9" t="n">
        <v>17095</v>
      </c>
      <c r="F28" s="9"/>
      <c r="G28" s="9" t="n">
        <v>10383.34</v>
      </c>
      <c r="H28" s="9"/>
      <c r="I28" s="9" t="n">
        <v>8431.58</v>
      </c>
      <c r="J28" s="9"/>
      <c r="K28" s="9" t="n">
        <f aca="false">(D28+E28+J28+G28+I28)/B28</f>
        <v>13808.1262458472</v>
      </c>
      <c r="L28" s="9" t="n">
        <f aca="false">(F28+H28)/B28</f>
        <v>0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146753.6</v>
      </c>
      <c r="D29" s="9" t="n">
        <v>86765</v>
      </c>
      <c r="E29" s="9" t="n">
        <v>30950</v>
      </c>
      <c r="F29" s="9"/>
      <c r="G29" s="9" t="n">
        <v>13444.77</v>
      </c>
      <c r="H29" s="9"/>
      <c r="I29" s="9" t="n">
        <v>15593.83</v>
      </c>
      <c r="J29" s="9"/>
      <c r="K29" s="9" t="n">
        <f aca="false">(D29+E29+J29+G29+I29)/B29</f>
        <v>12761.1826086957</v>
      </c>
      <c r="L29" s="9" t="n">
        <f aca="false">(F29+H29)/B29</f>
        <v>0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79531.39</v>
      </c>
      <c r="D30" s="26" t="n">
        <v>38094</v>
      </c>
      <c r="E30" s="9" t="n">
        <v>16100</v>
      </c>
      <c r="F30" s="9"/>
      <c r="G30" s="9" t="n">
        <v>12018.8</v>
      </c>
      <c r="H30" s="9"/>
      <c r="I30" s="9" t="n">
        <v>13318.59</v>
      </c>
      <c r="J30" s="9"/>
      <c r="K30" s="9" t="n">
        <f aca="false">(D30+E30+J30+G30+I30)/B30</f>
        <v>12827.6435483871</v>
      </c>
      <c r="L30" s="9" t="n">
        <f aca="false">(F30+H30)/B30</f>
        <v>0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53530.95</v>
      </c>
      <c r="D31" s="9" t="n">
        <v>28727</v>
      </c>
      <c r="E31" s="9" t="n">
        <v>6000</v>
      </c>
      <c r="F31" s="9"/>
      <c r="G31" s="9" t="n">
        <v>10200.08</v>
      </c>
      <c r="H31" s="9"/>
      <c r="I31" s="9" t="n">
        <v>8603.87</v>
      </c>
      <c r="J31" s="9"/>
      <c r="K31" s="9" t="n">
        <f aca="false">(D31+E31+J31+G31+I31)/B31</f>
        <v>10100.179245283</v>
      </c>
      <c r="L31" s="9" t="n">
        <f aca="false">(F31+H31)/B31</f>
        <v>0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250223.85</v>
      </c>
      <c r="D32" s="9" t="n">
        <v>167784</v>
      </c>
      <c r="E32" s="9" t="n">
        <v>34250</v>
      </c>
      <c r="F32" s="9"/>
      <c r="G32" s="9" t="n">
        <v>16519.63</v>
      </c>
      <c r="H32" s="9"/>
      <c r="I32" s="9" t="n">
        <v>31670.22</v>
      </c>
      <c r="J32" s="9"/>
      <c r="K32" s="9" t="n">
        <f aca="false">(D32+E32+J32+G32+I32)/B32</f>
        <v>17256.8172413793</v>
      </c>
      <c r="L32" s="9" t="n">
        <f aca="false">(F32+H32)/B32</f>
        <v>0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7" colorId="64" zoomScale="118" zoomScaleNormal="118" zoomScalePageLayoutView="100" workbookViewId="0">
      <selection pane="topLeft" activeCell="F13" activeCellId="0" sqref="F13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156369.07</v>
      </c>
      <c r="D2" s="9" t="n">
        <v>73915</v>
      </c>
      <c r="E2" s="9" t="n">
        <v>24700</v>
      </c>
      <c r="F2" s="9"/>
      <c r="G2" s="9" t="n">
        <v>25410.33</v>
      </c>
      <c r="H2" s="9" t="n">
        <v>8882</v>
      </c>
      <c r="I2" s="9" t="n">
        <v>23461.74</v>
      </c>
      <c r="J2" s="9"/>
      <c r="K2" s="9" t="n">
        <f aca="false">(D2+E2+J2+G2+I2)/B2</f>
        <v>15299.4885892116</v>
      </c>
      <c r="L2" s="9" t="n">
        <f aca="false">(F2+H2)/B2</f>
        <v>921.369294605809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129736.7</v>
      </c>
      <c r="D3" s="9" t="n">
        <v>89675</v>
      </c>
      <c r="E3" s="9" t="n">
        <v>14700</v>
      </c>
      <c r="F3" s="9"/>
      <c r="G3" s="9" t="n">
        <v>9965.84</v>
      </c>
      <c r="H3" s="9" t="n">
        <v>7876</v>
      </c>
      <c r="I3" s="9" t="n">
        <v>7519.86</v>
      </c>
      <c r="J3" s="9"/>
      <c r="K3" s="9" t="n">
        <f aca="false">(D3+E3+J3+G3+I3)/B3</f>
        <v>14006.9770114943</v>
      </c>
      <c r="L3" s="9" t="n">
        <f aca="false">(F3+H3)/B3</f>
        <v>905.287356321839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57660.7</v>
      </c>
      <c r="D4" s="9" t="n">
        <v>24710</v>
      </c>
      <c r="E4" s="9" t="n">
        <v>11750</v>
      </c>
      <c r="F4" s="9"/>
      <c r="G4" s="9" t="n">
        <v>9965.84</v>
      </c>
      <c r="H4" s="9" t="n">
        <v>3715</v>
      </c>
      <c r="I4" s="9" t="n">
        <v>7519.86</v>
      </c>
      <c r="J4" s="9"/>
      <c r="K4" s="9" t="n">
        <f aca="false">(D4+E4+J4+G4+I4)/B4</f>
        <v>8429.015625</v>
      </c>
      <c r="L4" s="9" t="n">
        <f aca="false">(F4+H4)/B4</f>
        <v>580.46875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13</v>
      </c>
      <c r="C5" s="9" t="n">
        <f aca="false">+D5+E5+F5+G5+H5+I5+J5</f>
        <v>297024.03</v>
      </c>
      <c r="D5" s="9" t="n">
        <v>155261</v>
      </c>
      <c r="E5" s="9" t="n">
        <v>47050</v>
      </c>
      <c r="F5" s="9" t="n">
        <v>2000</v>
      </c>
      <c r="G5" s="9" t="n">
        <v>24611.93</v>
      </c>
      <c r="H5" s="9" t="n">
        <v>14820</v>
      </c>
      <c r="I5" s="9" t="n">
        <v>53281.1</v>
      </c>
      <c r="J5" s="9"/>
      <c r="K5" s="9" t="n">
        <f aca="false">(D5+E5+J5+G5+I5)/B5</f>
        <v>21554.1561538462</v>
      </c>
      <c r="L5" s="9" t="n">
        <f aca="false">(F5+H5)/B5</f>
        <v>1293.84615384615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92762.84</v>
      </c>
      <c r="D6" s="9" t="n">
        <v>40570</v>
      </c>
      <c r="E6" s="9" t="n">
        <v>18050</v>
      </c>
      <c r="F6" s="9"/>
      <c r="G6" s="9" t="n">
        <v>13648.8</v>
      </c>
      <c r="H6" s="9" t="n">
        <v>5843</v>
      </c>
      <c r="I6" s="9" t="n">
        <v>14651.04</v>
      </c>
      <c r="J6" s="9"/>
      <c r="K6" s="9" t="n">
        <f aca="false">(D6+E6+J6+G6+I6)/B6</f>
        <v>13372.2830769231</v>
      </c>
      <c r="L6" s="9" t="n">
        <f aca="false">(F6+H6)/B6</f>
        <v>898.923076923077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151626.42</v>
      </c>
      <c r="D7" s="9" t="n">
        <v>73782</v>
      </c>
      <c r="E7" s="9" t="n">
        <v>22700</v>
      </c>
      <c r="F7" s="9" t="n">
        <v>1600</v>
      </c>
      <c r="G7" s="9" t="n">
        <v>17544.21</v>
      </c>
      <c r="H7" s="9" t="n">
        <v>16095</v>
      </c>
      <c r="I7" s="9" t="n">
        <v>19905.21</v>
      </c>
      <c r="J7" s="9"/>
      <c r="K7" s="9" t="n">
        <f aca="false">(D7+E7+J7+G7+I7)/B7</f>
        <v>12505.2679738562</v>
      </c>
      <c r="L7" s="9" t="n">
        <f aca="false">(F7+H7)/B7</f>
        <v>1652.19421101774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148755.45</v>
      </c>
      <c r="D8" s="9" t="n">
        <v>95926</v>
      </c>
      <c r="E8" s="9" t="n">
        <v>21550</v>
      </c>
      <c r="F8" s="9"/>
      <c r="G8" s="9" t="n">
        <v>8573.05</v>
      </c>
      <c r="H8" s="9" t="n">
        <v>4368</v>
      </c>
      <c r="I8" s="9" t="n">
        <v>18338.4</v>
      </c>
      <c r="J8" s="9"/>
      <c r="K8" s="9" t="n">
        <f aca="false">(D8+E8+J8+G8+I8)/B8</f>
        <v>19998.2617728532</v>
      </c>
      <c r="L8" s="9" t="n">
        <f aca="false">(F8+H8)/B8</f>
        <v>604.986149584488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167384.27</v>
      </c>
      <c r="D9" s="9" t="n">
        <v>92361</v>
      </c>
      <c r="E9" s="9" t="n">
        <v>19750</v>
      </c>
      <c r="F9" s="9" t="n">
        <v>1300</v>
      </c>
      <c r="G9" s="9" t="n">
        <v>22545.78</v>
      </c>
      <c r="H9" s="9" t="n">
        <v>8998</v>
      </c>
      <c r="I9" s="9" t="n">
        <v>22429.49</v>
      </c>
      <c r="J9" s="9"/>
      <c r="K9" s="9" t="n">
        <f aca="false">(D9+E9+J9+G9+I9)/B9</f>
        <v>13256.2253164557</v>
      </c>
      <c r="L9" s="9" t="n">
        <f aca="false">(F9+H9)/B9</f>
        <v>869.029535864979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245280.38</v>
      </c>
      <c r="D10" s="9" t="n">
        <v>154448</v>
      </c>
      <c r="E10" s="9" t="n">
        <v>30400</v>
      </c>
      <c r="F10" s="9"/>
      <c r="G10" s="9" t="n">
        <v>19810.81</v>
      </c>
      <c r="H10" s="9" t="n">
        <v>8331</v>
      </c>
      <c r="I10" s="9" t="n">
        <v>32290.57</v>
      </c>
      <c r="J10" s="9"/>
      <c r="K10" s="9" t="n">
        <f aca="false">(D10+E10+J10+G10+I10)/B10</f>
        <v>17170.2449275362</v>
      </c>
      <c r="L10" s="9" t="n">
        <f aca="false">(F10+H10)/B10</f>
        <v>603.695652173913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112622.11</v>
      </c>
      <c r="D11" s="9" t="n">
        <v>68435</v>
      </c>
      <c r="E11" s="9" t="n">
        <v>14900</v>
      </c>
      <c r="F11" s="9"/>
      <c r="G11" s="9" t="n">
        <v>10262.34</v>
      </c>
      <c r="H11" s="9" t="n">
        <v>2475</v>
      </c>
      <c r="I11" s="9" t="n">
        <v>16549.77</v>
      </c>
      <c r="J11" s="9"/>
      <c r="K11" s="9" t="n">
        <f aca="false">(D11+E11+J11+G11+I11)/B11</f>
        <v>14493.0407894737</v>
      </c>
      <c r="L11" s="9" t="n">
        <f aca="false">(F11+H11)/B11</f>
        <v>325.657894736842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196292.42</v>
      </c>
      <c r="D12" s="9" t="n">
        <v>103774</v>
      </c>
      <c r="E12" s="9" t="n">
        <v>44940</v>
      </c>
      <c r="F12" s="9"/>
      <c r="G12" s="9" t="n">
        <v>17555.08</v>
      </c>
      <c r="H12" s="9" t="n">
        <v>7040</v>
      </c>
      <c r="I12" s="9" t="n">
        <v>22983.34</v>
      </c>
      <c r="J12" s="9"/>
      <c r="K12" s="9" t="n">
        <f aca="false">(D12+E12+J12+G12+I12)/B12</f>
        <v>13518.03</v>
      </c>
      <c r="L12" s="9" t="n">
        <f aca="false">(F12+H12)/B12</f>
        <v>502.857142857143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75466.02</v>
      </c>
      <c r="D13" s="9" t="n">
        <v>45685</v>
      </c>
      <c r="E13" s="9" t="n">
        <v>12265</v>
      </c>
      <c r="F13" s="9"/>
      <c r="G13" s="9" t="n">
        <v>7951.02</v>
      </c>
      <c r="H13" s="9" t="n">
        <v>4682</v>
      </c>
      <c r="I13" s="9" t="n">
        <v>4883</v>
      </c>
      <c r="J13" s="9"/>
      <c r="K13" s="9" t="n">
        <f aca="false">(D13+E13+J13+G13+I13)/B13</f>
        <v>11876.5134228188</v>
      </c>
      <c r="L13" s="9" t="n">
        <f aca="false">(F13+H13)/B13</f>
        <v>785.570469798658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3</v>
      </c>
      <c r="C14" s="9" t="n">
        <f aca="false">+D14+E14+F14+G14+H14+I14+J14</f>
        <v>39529.44</v>
      </c>
      <c r="D14" s="9" t="n">
        <v>24397</v>
      </c>
      <c r="E14" s="9" t="n">
        <v>3250</v>
      </c>
      <c r="F14" s="9"/>
      <c r="G14" s="9" t="n">
        <v>4891.27</v>
      </c>
      <c r="H14" s="9" t="n">
        <v>3334</v>
      </c>
      <c r="I14" s="9" t="n">
        <v>3657.17</v>
      </c>
      <c r="J14" s="9"/>
      <c r="K14" s="9" t="n">
        <f aca="false">(D14+E14+J14+G14+I14)/B14</f>
        <v>12065.1466666667</v>
      </c>
      <c r="L14" s="9" t="n">
        <f aca="false">(F14+H14)/B14</f>
        <v>1111.33333333333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498654.1</v>
      </c>
      <c r="D15" s="9" t="n">
        <v>44635</v>
      </c>
      <c r="E15" s="9" t="n">
        <v>14800</v>
      </c>
      <c r="F15" s="9"/>
      <c r="G15" s="9" t="n">
        <v>12497.96</v>
      </c>
      <c r="H15" s="9" t="n">
        <v>414192</v>
      </c>
      <c r="I15" s="9" t="n">
        <v>12529.14</v>
      </c>
      <c r="J15" s="9"/>
      <c r="K15" s="9" t="n">
        <f aca="false">(D15+E15+J15+G15+I15)/B15</f>
        <v>15846.5478424015</v>
      </c>
      <c r="L15" s="9" t="n">
        <f aca="false">(F15+H15)/B15</f>
        <v>77709.5684803002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164918.06</v>
      </c>
      <c r="D16" s="9" t="n">
        <v>95861</v>
      </c>
      <c r="E16" s="9" t="n">
        <v>20755</v>
      </c>
      <c r="F16" s="9" t="n">
        <v>950</v>
      </c>
      <c r="G16" s="9" t="n">
        <v>9005.59</v>
      </c>
      <c r="H16" s="9" t="n">
        <v>9349</v>
      </c>
      <c r="I16" s="9" t="n">
        <v>28997.47</v>
      </c>
      <c r="J16" s="9"/>
      <c r="K16" s="9" t="n">
        <f aca="false">(D16+E16+J16+G16+I16)/B16</f>
        <v>15011.559223301</v>
      </c>
      <c r="L16" s="9" t="n">
        <f aca="false">(F16+H16)/B16</f>
        <v>999.902912621359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101848.25</v>
      </c>
      <c r="D17" s="9" t="n">
        <v>56060</v>
      </c>
      <c r="E17" s="9" t="n">
        <v>10400</v>
      </c>
      <c r="F17" s="9"/>
      <c r="G17" s="9" t="n">
        <v>14675.47</v>
      </c>
      <c r="H17" s="9" t="n">
        <v>5652</v>
      </c>
      <c r="I17" s="9" t="n">
        <v>15060.78</v>
      </c>
      <c r="J17" s="9"/>
      <c r="K17" s="9" t="n">
        <f aca="false">(D17+E17+J17+G17+I17)/B17</f>
        <v>16032.7083333333</v>
      </c>
      <c r="L17" s="9" t="n">
        <f aca="false">(F17+H17)/B17</f>
        <v>942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149084.08</v>
      </c>
      <c r="D18" s="9" t="n">
        <v>74775</v>
      </c>
      <c r="E18" s="9" t="n">
        <v>19720</v>
      </c>
      <c r="F18" s="9"/>
      <c r="G18" s="9" t="n">
        <v>12973.7</v>
      </c>
      <c r="H18" s="9" t="n">
        <v>10905</v>
      </c>
      <c r="I18" s="9" t="n">
        <v>30710.38</v>
      </c>
      <c r="J18" s="9"/>
      <c r="K18" s="9" t="n">
        <f aca="false">(D18+E18+J18+G18+I18)/B18</f>
        <v>14699.9021276596</v>
      </c>
      <c r="L18" s="9" t="n">
        <f aca="false">(F18+H18)/B18</f>
        <v>1160.10638297872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130297.87</v>
      </c>
      <c r="D19" s="9" t="n">
        <v>76230</v>
      </c>
      <c r="E19" s="9" t="n">
        <v>23200</v>
      </c>
      <c r="F19" s="9"/>
      <c r="G19" s="9" t="n">
        <v>11634.11</v>
      </c>
      <c r="H19" s="9" t="n">
        <v>4149</v>
      </c>
      <c r="I19" s="9" t="n">
        <v>15084.76</v>
      </c>
      <c r="J19" s="9"/>
      <c r="K19" s="9" t="n">
        <f aca="false">(D19+E19+J19+G19+I19)/B19</f>
        <v>21024.8116666667</v>
      </c>
      <c r="L19" s="9" t="n">
        <f aca="false">(F19+H19)/B19</f>
        <v>691.5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50994.8</v>
      </c>
      <c r="D20" s="9" t="n">
        <v>15169</v>
      </c>
      <c r="E20" s="9" t="n">
        <v>5580</v>
      </c>
      <c r="F20" s="9"/>
      <c r="G20" s="9" t="n">
        <v>16314.99</v>
      </c>
      <c r="H20" s="9" t="n">
        <v>5315</v>
      </c>
      <c r="I20" s="9" t="n">
        <v>8615.81</v>
      </c>
      <c r="J20" s="9"/>
      <c r="K20" s="9" t="n">
        <f aca="false">(D20+E20+J20+G20+I20)/B20</f>
        <v>8157.10714285714</v>
      </c>
      <c r="L20" s="9" t="n">
        <f aca="false">(F20+H20)/B20</f>
        <v>949.107142857143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79988.16</v>
      </c>
      <c r="D21" s="9" t="n">
        <v>36499</v>
      </c>
      <c r="E21" s="9" t="n">
        <v>14080</v>
      </c>
      <c r="F21" s="9"/>
      <c r="G21" s="9" t="n">
        <v>16940.27</v>
      </c>
      <c r="H21" s="9" t="n">
        <v>3850</v>
      </c>
      <c r="I21" s="9" t="n">
        <v>8618.89</v>
      </c>
      <c r="J21" s="9"/>
      <c r="K21" s="9" t="n">
        <f aca="false">(D21+E21+J21+G21+I21)/B21</f>
        <v>10288.9405405405</v>
      </c>
      <c r="L21" s="9" t="n">
        <f aca="false">(F21+H21)/B21</f>
        <v>520.27027027027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99861.63</v>
      </c>
      <c r="D22" s="9" t="n">
        <v>47825</v>
      </c>
      <c r="E22" s="9" t="n">
        <v>11550</v>
      </c>
      <c r="F22" s="9"/>
      <c r="G22" s="9" t="n">
        <v>16483.12</v>
      </c>
      <c r="H22" s="9" t="n">
        <v>10939</v>
      </c>
      <c r="I22" s="9" t="n">
        <v>13064.51</v>
      </c>
      <c r="J22" s="9"/>
      <c r="K22" s="9" t="n">
        <f aca="false">(D22+E22+J22+G22+I22)/B22</f>
        <v>10804.6938031592</v>
      </c>
      <c r="L22" s="9" t="n">
        <f aca="false">(F22+H22)/B22</f>
        <v>1329.16160388821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70441.43</v>
      </c>
      <c r="D23" s="9" t="n">
        <v>51866</v>
      </c>
      <c r="E23" s="9" t="n">
        <v>7725</v>
      </c>
      <c r="F23" s="9"/>
      <c r="G23" s="9" t="n">
        <v>3243.07</v>
      </c>
      <c r="H23" s="9" t="n">
        <v>5407</v>
      </c>
      <c r="I23" s="9" t="n">
        <v>2200.36</v>
      </c>
      <c r="J23" s="9"/>
      <c r="K23" s="9" t="n">
        <f aca="false">(D23+E23+J23+G23+I23)/B23</f>
        <v>12270.6471698113</v>
      </c>
      <c r="L23" s="9" t="n">
        <f aca="false">(F23+H23)/B23</f>
        <v>1020.18867924528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303766.47</v>
      </c>
      <c r="D24" s="9" t="n">
        <v>184460</v>
      </c>
      <c r="E24" s="9" t="n">
        <v>51050</v>
      </c>
      <c r="F24" s="20"/>
      <c r="G24" s="9" t="n">
        <v>26357.98</v>
      </c>
      <c r="H24" s="9" t="n">
        <v>14020</v>
      </c>
      <c r="I24" s="9" t="n">
        <v>27878.49</v>
      </c>
      <c r="J24" s="9"/>
      <c r="K24" s="9" t="n">
        <f aca="false">(D24+E24+J24+G24+I24)/B24</f>
        <v>11636.4044176707</v>
      </c>
      <c r="L24" s="9" t="n">
        <f aca="false">(F24+H24)/B24</f>
        <v>563.052208835341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191212.4</v>
      </c>
      <c r="D25" s="9" t="n">
        <v>100063</v>
      </c>
      <c r="E25" s="9" t="n">
        <v>39730</v>
      </c>
      <c r="F25" s="9"/>
      <c r="G25" s="9" t="n">
        <v>21153.5</v>
      </c>
      <c r="H25" s="9" t="n">
        <v>8305</v>
      </c>
      <c r="I25" s="9" t="n">
        <v>21960.9</v>
      </c>
      <c r="J25" s="9"/>
      <c r="K25" s="9" t="n">
        <f aca="false">(D25+E25+J25+G25+I25)/B25</f>
        <v>16857.8248847926</v>
      </c>
      <c r="L25" s="9" t="n">
        <f aca="false">(F25+H25)/B25</f>
        <v>765.437788018433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34515.39</v>
      </c>
      <c r="D26" s="9" t="n">
        <v>9005</v>
      </c>
      <c r="E26" s="9" t="n">
        <v>8215</v>
      </c>
      <c r="F26" s="9"/>
      <c r="G26" s="9" t="n">
        <v>5549.66</v>
      </c>
      <c r="H26" s="9" t="n">
        <v>4152</v>
      </c>
      <c r="I26" s="9" t="n">
        <v>7593.73</v>
      </c>
      <c r="J26" s="9"/>
      <c r="K26" s="9" t="n">
        <f aca="false">(D26+E26+J26+G26+I26)/B26</f>
        <v>8700.111747851</v>
      </c>
      <c r="L26" s="9" t="n">
        <f aca="false">(F26+H26)/B26</f>
        <v>1189.68481375358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85232.54</v>
      </c>
      <c r="D27" s="9" t="n">
        <v>48436</v>
      </c>
      <c r="E27" s="9" t="n">
        <v>12534</v>
      </c>
      <c r="F27" s="9"/>
      <c r="G27" s="9" t="n">
        <v>10263.56</v>
      </c>
      <c r="H27" s="9" t="n">
        <v>4760</v>
      </c>
      <c r="I27" s="9" t="n">
        <v>9238.98</v>
      </c>
      <c r="J27" s="9"/>
      <c r="K27" s="9" t="n">
        <f aca="false">(D27+E27+J27+G27+I27)/B27</f>
        <v>14499.5567567568</v>
      </c>
      <c r="L27" s="9" t="n">
        <f aca="false">(F27+H27)/B27</f>
        <v>857.657657657658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95639.92</v>
      </c>
      <c r="D28" s="9" t="n">
        <v>55410</v>
      </c>
      <c r="E28" s="9" t="n">
        <v>16655</v>
      </c>
      <c r="F28" s="9"/>
      <c r="G28" s="9" t="n">
        <v>10383.34</v>
      </c>
      <c r="H28" s="9" t="n">
        <v>4760</v>
      </c>
      <c r="I28" s="9" t="n">
        <v>8431.58</v>
      </c>
      <c r="J28" s="9"/>
      <c r="K28" s="9" t="n">
        <f aca="false">(D28+E28+J28+G28+I28)/B28</f>
        <v>15096.3322259136</v>
      </c>
      <c r="L28" s="9" t="n">
        <f aca="false">(F28+H28)/B28</f>
        <v>790.697674418605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175149.6</v>
      </c>
      <c r="D29" s="9" t="n">
        <v>111728</v>
      </c>
      <c r="E29" s="9" t="n">
        <v>30950</v>
      </c>
      <c r="F29" s="9"/>
      <c r="G29" s="9" t="n">
        <v>13444.77</v>
      </c>
      <c r="H29" s="9" t="n">
        <v>3433</v>
      </c>
      <c r="I29" s="9" t="n">
        <v>15593.83</v>
      </c>
      <c r="J29" s="9"/>
      <c r="K29" s="9" t="n">
        <f aca="false">(D29+E29+J29+G29+I29)/B29</f>
        <v>14931.8782608696</v>
      </c>
      <c r="L29" s="9" t="n">
        <f aca="false">(F29+H29)/B29</f>
        <v>298.521739130435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92413.39</v>
      </c>
      <c r="D30" s="26" t="n">
        <v>47150</v>
      </c>
      <c r="E30" s="9" t="n">
        <v>16100</v>
      </c>
      <c r="F30" s="9"/>
      <c r="G30" s="9" t="n">
        <v>12018.8</v>
      </c>
      <c r="H30" s="9" t="n">
        <v>3826</v>
      </c>
      <c r="I30" s="9" t="n">
        <v>13318.59</v>
      </c>
      <c r="J30" s="9"/>
      <c r="K30" s="9" t="n">
        <f aca="false">(D30+E30+J30+G30+I30)/B30</f>
        <v>14288.2887096774</v>
      </c>
      <c r="L30" s="9" t="n">
        <f aca="false">(F30+H30)/B30</f>
        <v>617.096774193548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54803.95</v>
      </c>
      <c r="D31" s="9" t="n">
        <v>28961</v>
      </c>
      <c r="E31" s="9" t="n">
        <v>6000</v>
      </c>
      <c r="F31" s="9"/>
      <c r="G31" s="9" t="n">
        <v>10200.08</v>
      </c>
      <c r="H31" s="9" t="n">
        <v>1039</v>
      </c>
      <c r="I31" s="9" t="n">
        <v>8603.87</v>
      </c>
      <c r="J31" s="9"/>
      <c r="K31" s="9" t="n">
        <f aca="false">(D31+E31+J31+G31+I31)/B31</f>
        <v>10144.3301886792</v>
      </c>
      <c r="L31" s="9" t="n">
        <f aca="false">(F31+H31)/B31</f>
        <v>196.037735849057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290029.85</v>
      </c>
      <c r="D32" s="9" t="n">
        <v>191359</v>
      </c>
      <c r="E32" s="9" t="n">
        <v>34600</v>
      </c>
      <c r="F32" s="9"/>
      <c r="G32" s="9" t="n">
        <v>16519.63</v>
      </c>
      <c r="H32" s="9" t="n">
        <v>15881</v>
      </c>
      <c r="I32" s="9" t="n">
        <v>31670.22</v>
      </c>
      <c r="J32" s="9"/>
      <c r="K32" s="9" t="n">
        <f aca="false">(D32+E32+J32+G32+I32)/B32</f>
        <v>18906.8172413793</v>
      </c>
      <c r="L32" s="9" t="n">
        <f aca="false">(F32+H32)/B32</f>
        <v>1095.24137931034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" right="0" top="0.157638888888889" bottom="0.196527777777778" header="0.511811023622047" footer="0.511811023622047"/>
  <pageSetup paperSize="9" scale="6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selection pane="topLeft" activeCell="H7" activeCellId="0" sqref="H7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156235.17</v>
      </c>
      <c r="D2" s="9" t="n">
        <v>58046</v>
      </c>
      <c r="E2" s="9" t="n">
        <v>24700</v>
      </c>
      <c r="F2" s="9" t="n">
        <v>8880</v>
      </c>
      <c r="G2" s="9" t="n">
        <v>25410.33</v>
      </c>
      <c r="H2" s="9" t="n">
        <v>14330</v>
      </c>
      <c r="I2" s="9" t="n">
        <v>22758.84</v>
      </c>
      <c r="J2" s="9" t="n">
        <v>2110</v>
      </c>
      <c r="K2" s="9" t="n">
        <f aca="false">(D2+E2+J2+G2+I2)/B2</f>
        <v>13799.2914937759</v>
      </c>
      <c r="L2" s="9" t="n">
        <f aca="false">(F2+H2)/B2</f>
        <v>2407.67634854772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134206.67</v>
      </c>
      <c r="D3" s="9" t="n">
        <v>78145</v>
      </c>
      <c r="E3" s="9" t="n">
        <v>14700</v>
      </c>
      <c r="F3" s="9"/>
      <c r="G3" s="9" t="n">
        <v>9965.84</v>
      </c>
      <c r="H3" s="9" t="n">
        <v>21691</v>
      </c>
      <c r="I3" s="9" t="n">
        <v>9704.83</v>
      </c>
      <c r="J3" s="9"/>
      <c r="K3" s="9" t="n">
        <f aca="false">(D3+E3+J3+G3+I3)/B3</f>
        <v>12932.8356321839</v>
      </c>
      <c r="L3" s="9" t="n">
        <f aca="false">(F3+H3)/B3</f>
        <v>2493.2183908046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71150.67</v>
      </c>
      <c r="D4" s="9" t="n">
        <v>22095</v>
      </c>
      <c r="E4" s="9" t="n">
        <v>11750</v>
      </c>
      <c r="F4" s="9"/>
      <c r="G4" s="9" t="n">
        <v>9965.84</v>
      </c>
      <c r="H4" s="9" t="n">
        <v>17635</v>
      </c>
      <c r="I4" s="9" t="n">
        <v>9704.83</v>
      </c>
      <c r="J4" s="9"/>
      <c r="K4" s="9" t="n">
        <f aca="false">(D4+E4+J4+G4+I4)/B4</f>
        <v>8361.8234375</v>
      </c>
      <c r="L4" s="9" t="n">
        <f aca="false">(F4+H4)/B4</f>
        <v>2755.46875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13</v>
      </c>
      <c r="C5" s="9" t="n">
        <f aca="false">+D5+E5+F5+G5+H5+I5+J5</f>
        <v>376639.81</v>
      </c>
      <c r="D5" s="9" t="n">
        <v>199980</v>
      </c>
      <c r="E5" s="9" t="n">
        <v>43800</v>
      </c>
      <c r="F5" s="9" t="n">
        <v>2600</v>
      </c>
      <c r="G5" s="9" t="n">
        <v>24611.93</v>
      </c>
      <c r="H5" s="9" t="n">
        <v>48670</v>
      </c>
      <c r="I5" s="9" t="n">
        <v>51882.88</v>
      </c>
      <c r="J5" s="9" t="n">
        <v>5095</v>
      </c>
      <c r="K5" s="9" t="n">
        <f aca="false">(D5+E5+J5+G5+I5)/B5</f>
        <v>25028.4469230769</v>
      </c>
      <c r="L5" s="9" t="n">
        <f aca="false">(F5+H5)/B5</f>
        <v>3943.84615384615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100698.65</v>
      </c>
      <c r="D6" s="9" t="n">
        <v>43620</v>
      </c>
      <c r="E6" s="9" t="n">
        <v>14250</v>
      </c>
      <c r="F6" s="9"/>
      <c r="G6" s="9" t="n">
        <v>13648.8</v>
      </c>
      <c r="H6" s="9" t="n">
        <v>12560</v>
      </c>
      <c r="I6" s="9" t="n">
        <v>15619.85</v>
      </c>
      <c r="J6" s="9" t="n">
        <v>1000</v>
      </c>
      <c r="K6" s="9" t="n">
        <f aca="false">(D6+E6+J6+G6+I6)/B6</f>
        <v>13559.7923076923</v>
      </c>
      <c r="L6" s="9" t="n">
        <f aca="false">(F6+H6)/B6</f>
        <v>1932.30769230769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151451.8</v>
      </c>
      <c r="D7" s="9" t="n">
        <v>60272</v>
      </c>
      <c r="E7" s="9" t="n">
        <v>20020</v>
      </c>
      <c r="F7" s="9"/>
      <c r="G7" s="9" t="n">
        <v>17544.21</v>
      </c>
      <c r="H7" s="9" t="n">
        <v>33675</v>
      </c>
      <c r="I7" s="9" t="n">
        <v>19940.59</v>
      </c>
      <c r="J7" s="9"/>
      <c r="K7" s="9" t="n">
        <f aca="false">(D7+E7+J7+G7+I7)/B7</f>
        <v>10996.9000933707</v>
      </c>
      <c r="L7" s="9" t="n">
        <f aca="false">(F7+H7)/B7</f>
        <v>3144.25770308123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130325.88</v>
      </c>
      <c r="D8" s="9" t="n">
        <v>78768</v>
      </c>
      <c r="E8" s="9" t="n">
        <v>18100</v>
      </c>
      <c r="F8" s="9"/>
      <c r="G8" s="9" t="n">
        <v>8573.05</v>
      </c>
      <c r="H8" s="9" t="n">
        <v>7357</v>
      </c>
      <c r="I8" s="9" t="n">
        <v>16412.83</v>
      </c>
      <c r="J8" s="9" t="n">
        <v>1115</v>
      </c>
      <c r="K8" s="9" t="n">
        <f aca="false">(D8+E8+J8+G8+I8)/B8</f>
        <v>17031.7008310249</v>
      </c>
      <c r="L8" s="9" t="n">
        <f aca="false">(F8+H8)/B8</f>
        <v>1018.97506925208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179327.43</v>
      </c>
      <c r="D9" s="9" t="n">
        <v>93684</v>
      </c>
      <c r="E9" s="9" t="n">
        <v>23150</v>
      </c>
      <c r="F9" s="9"/>
      <c r="G9" s="9" t="n">
        <v>22545.78</v>
      </c>
      <c r="H9" s="9" t="n">
        <v>19464</v>
      </c>
      <c r="I9" s="9" t="n">
        <v>20483.65</v>
      </c>
      <c r="J9" s="9"/>
      <c r="K9" s="9" t="n">
        <f aca="false">(D9+E9+J9+G9+I9)/B9</f>
        <v>13490.5848101266</v>
      </c>
      <c r="L9" s="9" t="n">
        <f aca="false">(F9+H9)/B9</f>
        <v>1642.53164556962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298606.78</v>
      </c>
      <c r="D10" s="9" t="n">
        <v>131845</v>
      </c>
      <c r="E10" s="9" t="n">
        <v>29500</v>
      </c>
      <c r="F10" s="9"/>
      <c r="G10" s="9" t="n">
        <v>19810.81</v>
      </c>
      <c r="H10" s="9" t="n">
        <v>86652</v>
      </c>
      <c r="I10" s="9" t="n">
        <v>29598.97</v>
      </c>
      <c r="J10" s="9" t="n">
        <v>1200</v>
      </c>
      <c r="K10" s="9" t="n">
        <f aca="false">(D10+E10+J10+G10+I10)/B10</f>
        <v>15359.0420289855</v>
      </c>
      <c r="L10" s="9" t="n">
        <f aca="false">(F10+H10)/B10</f>
        <v>6279.13043478261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173553.99</v>
      </c>
      <c r="D11" s="9" t="n">
        <v>83564</v>
      </c>
      <c r="E11" s="9" t="n">
        <v>14900</v>
      </c>
      <c r="F11" s="9" t="n">
        <v>33200</v>
      </c>
      <c r="G11" s="9" t="n">
        <v>10262.34</v>
      </c>
      <c r="H11" s="9" t="n">
        <v>16235</v>
      </c>
      <c r="I11" s="9" t="n">
        <v>15392.65</v>
      </c>
      <c r="J11" s="9"/>
      <c r="K11" s="9" t="n">
        <f aca="false">(D11+E11+J11+G11+I11)/B11</f>
        <v>16331.4460526316</v>
      </c>
      <c r="L11" s="9" t="n">
        <f aca="false">(F11+H11)/B11</f>
        <v>6504.6052631579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239958.7</v>
      </c>
      <c r="D12" s="9" t="n">
        <v>136623</v>
      </c>
      <c r="E12" s="9" t="n">
        <v>44730</v>
      </c>
      <c r="F12" s="9"/>
      <c r="G12" s="9" t="n">
        <v>17555.08</v>
      </c>
      <c r="H12" s="9" t="n">
        <v>18980</v>
      </c>
      <c r="I12" s="9" t="n">
        <v>22070.62</v>
      </c>
      <c r="J12" s="9"/>
      <c r="K12" s="9" t="n">
        <f aca="false">(D12+E12+J12+G12+I12)/B12</f>
        <v>15784.1928571429</v>
      </c>
      <c r="L12" s="9" t="n">
        <f aca="false">(F12+H12)/B12</f>
        <v>1355.71428571429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93802.18</v>
      </c>
      <c r="D13" s="9" t="n">
        <v>40963</v>
      </c>
      <c r="E13" s="9" t="n">
        <v>12265</v>
      </c>
      <c r="F13" s="9" t="n">
        <v>17580</v>
      </c>
      <c r="G13" s="9" t="n">
        <v>7951.02</v>
      </c>
      <c r="H13" s="9" t="n">
        <v>9056</v>
      </c>
      <c r="I13" s="9" t="n">
        <v>5987.16</v>
      </c>
      <c r="J13" s="9"/>
      <c r="K13" s="9" t="n">
        <f aca="false">(D13+E13+J13+G13+I13)/B13</f>
        <v>11269.4932885906</v>
      </c>
      <c r="L13" s="9" t="n">
        <f aca="false">(F13+H13)/B13</f>
        <v>4469.12751677852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45785.72</v>
      </c>
      <c r="D14" s="9" t="n">
        <v>24950</v>
      </c>
      <c r="E14" s="9"/>
      <c r="F14" s="9"/>
      <c r="G14" s="9" t="n">
        <v>4891.27</v>
      </c>
      <c r="H14" s="9" t="n">
        <v>8057</v>
      </c>
      <c r="I14" s="9" t="n">
        <v>3747.45</v>
      </c>
      <c r="J14" s="9" t="n">
        <v>4140</v>
      </c>
      <c r="K14" s="9" t="n">
        <f aca="false">(D14+E14+J14+G14+I14)/B14</f>
        <v>8574.70909090909</v>
      </c>
      <c r="L14" s="9" t="n">
        <f aca="false">(F14+H14)/B14</f>
        <v>1831.13636363636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120002.12</v>
      </c>
      <c r="D15" s="9" t="n">
        <v>48600</v>
      </c>
      <c r="E15" s="9" t="n">
        <v>3600</v>
      </c>
      <c r="F15" s="9"/>
      <c r="G15" s="9" t="n">
        <v>12497.96</v>
      </c>
      <c r="H15" s="9" t="n">
        <v>38880</v>
      </c>
      <c r="I15" s="9" t="n">
        <v>13074.16</v>
      </c>
      <c r="J15" s="9" t="n">
        <v>3350</v>
      </c>
      <c r="K15" s="9" t="n">
        <f aca="false">(D15+E15+J15+G15+I15)/B15</f>
        <v>15219.9099437148</v>
      </c>
      <c r="L15" s="9" t="n">
        <f aca="false">(F15+H15)/B15</f>
        <v>7294.55909943715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158450.08</v>
      </c>
      <c r="D16" s="9" t="n">
        <v>81880</v>
      </c>
      <c r="E16" s="9" t="n">
        <v>22585</v>
      </c>
      <c r="F16" s="9"/>
      <c r="G16" s="9" t="n">
        <v>9005.59</v>
      </c>
      <c r="H16" s="9" t="n">
        <v>13367.5</v>
      </c>
      <c r="I16" s="9" t="n">
        <v>29831.99</v>
      </c>
      <c r="J16" s="9" t="n">
        <v>1780</v>
      </c>
      <c r="K16" s="9" t="n">
        <f aca="false">(D16+E16+J16+G16+I16)/B16</f>
        <v>14085.6873786408</v>
      </c>
      <c r="L16" s="9" t="n">
        <f aca="false">(F16+H16)/B16</f>
        <v>1297.81553398058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96207.68</v>
      </c>
      <c r="D17" s="9" t="n">
        <v>46945</v>
      </c>
      <c r="E17" s="9" t="n">
        <v>9200</v>
      </c>
      <c r="F17" s="9"/>
      <c r="G17" s="9" t="n">
        <v>14675.47</v>
      </c>
      <c r="H17" s="9" t="n">
        <v>9330</v>
      </c>
      <c r="I17" s="9" t="n">
        <v>16057.21</v>
      </c>
      <c r="J17" s="9"/>
      <c r="K17" s="9" t="n">
        <f aca="false">(D17+E17+J17+G17+I17)/B17</f>
        <v>14479.6133333333</v>
      </c>
      <c r="L17" s="9" t="n">
        <f aca="false">(F17+H17)/B17</f>
        <v>1555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145750.76</v>
      </c>
      <c r="D18" s="9" t="n">
        <v>69550</v>
      </c>
      <c r="E18" s="9" t="n">
        <v>13260</v>
      </c>
      <c r="F18" s="9" t="n">
        <v>1900</v>
      </c>
      <c r="G18" s="9" t="n">
        <v>12973.7</v>
      </c>
      <c r="H18" s="9" t="n">
        <v>17800</v>
      </c>
      <c r="I18" s="9" t="n">
        <v>30267.06</v>
      </c>
      <c r="J18" s="9"/>
      <c r="K18" s="9" t="n">
        <f aca="false">(D18+E18+J18+G18+I18)/B18</f>
        <v>13409.6553191489</v>
      </c>
      <c r="L18" s="9" t="n">
        <f aca="false">(F18+H18)/B18</f>
        <v>2095.74468085106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134720.4</v>
      </c>
      <c r="D19" s="9" t="n">
        <v>71818</v>
      </c>
      <c r="E19" s="9" t="n">
        <v>23200</v>
      </c>
      <c r="F19" s="9"/>
      <c r="G19" s="9" t="n">
        <v>11634.11</v>
      </c>
      <c r="H19" s="9" t="n">
        <v>11282.5</v>
      </c>
      <c r="I19" s="9" t="n">
        <v>16785.79</v>
      </c>
      <c r="J19" s="9"/>
      <c r="K19" s="9" t="n">
        <f aca="false">(D19+E19+J19+G19+I19)/B19</f>
        <v>20572.9833333333</v>
      </c>
      <c r="L19" s="9" t="n">
        <f aca="false">(F19+H19)/B19</f>
        <v>1880.41666666667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56694.51</v>
      </c>
      <c r="D20" s="9" t="n">
        <v>18333</v>
      </c>
      <c r="E20" s="9" t="n">
        <v>6500</v>
      </c>
      <c r="F20" s="9"/>
      <c r="G20" s="9" t="n">
        <v>16314.99</v>
      </c>
      <c r="H20" s="9" t="n">
        <v>7687</v>
      </c>
      <c r="I20" s="9" t="n">
        <v>7859.52</v>
      </c>
      <c r="J20" s="9"/>
      <c r="K20" s="9" t="n">
        <f aca="false">(D20+E20+J20+G20+I20)/B20</f>
        <v>8751.34107142857</v>
      </c>
      <c r="L20" s="9" t="n">
        <f aca="false">(F20+H20)/B20</f>
        <v>1372.67857142857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81830.65</v>
      </c>
      <c r="D21" s="9" t="n">
        <v>40970</v>
      </c>
      <c r="E21" s="9" t="n">
        <v>7320</v>
      </c>
      <c r="F21" s="9"/>
      <c r="G21" s="9" t="n">
        <v>16940.27</v>
      </c>
      <c r="H21" s="9" t="n">
        <v>7080</v>
      </c>
      <c r="I21" s="9" t="n">
        <v>8350.38</v>
      </c>
      <c r="J21" s="9" t="n">
        <v>1170</v>
      </c>
      <c r="K21" s="9" t="n">
        <f aca="false">(D21+E21+J21+G21+I21)/B21</f>
        <v>10101.4391891892</v>
      </c>
      <c r="L21" s="9" t="n">
        <f aca="false">(F21+H21)/B21</f>
        <v>956.756756756757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129823.53</v>
      </c>
      <c r="D22" s="9" t="n">
        <v>79040</v>
      </c>
      <c r="E22" s="9" t="n">
        <v>11550</v>
      </c>
      <c r="F22" s="9"/>
      <c r="G22" s="9" t="n">
        <v>16483.12</v>
      </c>
      <c r="H22" s="9" t="n">
        <v>10361</v>
      </c>
      <c r="I22" s="9" t="n">
        <v>12389.41</v>
      </c>
      <c r="J22" s="9"/>
      <c r="K22" s="9" t="n">
        <f aca="false">(D22+E22+J22+G22+I22)/B22</f>
        <v>14515.4957472661</v>
      </c>
      <c r="L22" s="9" t="n">
        <f aca="false">(F22+H22)/B22</f>
        <v>1258.93074119077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77534.43</v>
      </c>
      <c r="D23" s="9" t="n">
        <v>55997</v>
      </c>
      <c r="E23" s="9" t="n">
        <v>7725</v>
      </c>
      <c r="F23" s="9"/>
      <c r="G23" s="9" t="n">
        <v>3243.07</v>
      </c>
      <c r="H23" s="9" t="n">
        <v>8369</v>
      </c>
      <c r="I23" s="9" t="n">
        <v>2200.36</v>
      </c>
      <c r="J23" s="9"/>
      <c r="K23" s="9" t="n">
        <f aca="false">(D23+E23+J23+G23+I23)/B23</f>
        <v>13050.0811320755</v>
      </c>
      <c r="L23" s="9" t="n">
        <f aca="false">(F23+H23)/B23</f>
        <v>1579.05660377359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444078.63</v>
      </c>
      <c r="D24" s="9" t="n">
        <v>176355</v>
      </c>
      <c r="E24" s="9" t="n">
        <v>51550</v>
      </c>
      <c r="F24" s="20" t="n">
        <v>142320</v>
      </c>
      <c r="G24" s="9" t="n">
        <v>26357.98</v>
      </c>
      <c r="H24" s="9" t="n">
        <v>15955</v>
      </c>
      <c r="I24" s="9" t="n">
        <v>30405.65</v>
      </c>
      <c r="J24" s="9" t="n">
        <v>1135</v>
      </c>
      <c r="K24" s="9" t="n">
        <f aca="false">(D24+E24+J24+G24+I24)/B24</f>
        <v>11478.0574297189</v>
      </c>
      <c r="L24" s="9" t="n">
        <f aca="false">(F24+H24)/B24</f>
        <v>6356.42570281125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189267.39</v>
      </c>
      <c r="D25" s="9" t="n">
        <v>86605</v>
      </c>
      <c r="E25" s="9" t="n">
        <v>41435</v>
      </c>
      <c r="F25" s="9"/>
      <c r="G25" s="9" t="n">
        <v>21153.5</v>
      </c>
      <c r="H25" s="9" t="n">
        <v>15535</v>
      </c>
      <c r="I25" s="9" t="n">
        <v>24538.89</v>
      </c>
      <c r="J25" s="9"/>
      <c r="K25" s="9" t="n">
        <f aca="false">(D25+E25+J25+G25+I25)/B25</f>
        <v>16012.201843318</v>
      </c>
      <c r="L25" s="9" t="n">
        <f aca="false">(F25+H25)/B25</f>
        <v>1431.79723502304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35575.04</v>
      </c>
      <c r="D26" s="9" t="n">
        <v>8670</v>
      </c>
      <c r="E26" s="9" t="n">
        <v>9015</v>
      </c>
      <c r="F26" s="9"/>
      <c r="G26" s="9" t="n">
        <v>5549.66</v>
      </c>
      <c r="H26" s="9" t="n">
        <v>5400</v>
      </c>
      <c r="I26" s="9" t="n">
        <v>6940.38</v>
      </c>
      <c r="J26" s="9"/>
      <c r="K26" s="9" t="n">
        <f aca="false">(D26+E26+J26+G26+I26)/B26</f>
        <v>8646.14326647565</v>
      </c>
      <c r="L26" s="9" t="n">
        <f aca="false">(F26+H26)/B26</f>
        <v>1547.27793696275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78451.83</v>
      </c>
      <c r="D27" s="9" t="n">
        <v>37077</v>
      </c>
      <c r="E27" s="9" t="n">
        <v>11730</v>
      </c>
      <c r="F27" s="9"/>
      <c r="G27" s="9" t="n">
        <v>10263.56</v>
      </c>
      <c r="H27" s="9" t="n">
        <v>9250</v>
      </c>
      <c r="I27" s="9" t="n">
        <v>10131.27</v>
      </c>
      <c r="J27" s="9"/>
      <c r="K27" s="9" t="n">
        <f aca="false">(D27+E27+J27+G27+I27)/B27</f>
        <v>12468.7981981982</v>
      </c>
      <c r="L27" s="9" t="n">
        <f aca="false">(F27+H27)/B27</f>
        <v>1666.66666666667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90345.29</v>
      </c>
      <c r="D28" s="9" t="n">
        <v>44982</v>
      </c>
      <c r="E28" s="9" t="n">
        <v>16135</v>
      </c>
      <c r="F28" s="9"/>
      <c r="G28" s="9" t="n">
        <v>10383.34</v>
      </c>
      <c r="H28" s="9" t="n">
        <v>8725</v>
      </c>
      <c r="I28" s="9" t="n">
        <v>10119.95</v>
      </c>
      <c r="J28" s="9"/>
      <c r="K28" s="9" t="n">
        <f aca="false">(D28+E28+J28+G28+I28)/B28</f>
        <v>13558.1877076412</v>
      </c>
      <c r="L28" s="9" t="n">
        <f aca="false">(F28+H28)/B28</f>
        <v>1449.33554817276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166752.37</v>
      </c>
      <c r="D29" s="9" t="n">
        <v>94510</v>
      </c>
      <c r="E29" s="9" t="n">
        <v>29950</v>
      </c>
      <c r="F29" s="9"/>
      <c r="G29" s="9" t="n">
        <v>13444.77</v>
      </c>
      <c r="H29" s="9" t="n">
        <v>10690</v>
      </c>
      <c r="I29" s="9" t="n">
        <v>18157.6</v>
      </c>
      <c r="J29" s="9"/>
      <c r="K29" s="9" t="n">
        <f aca="false">(D29+E29+J29+G29+I29)/B29</f>
        <v>13570.6408695652</v>
      </c>
      <c r="L29" s="9" t="n">
        <f aca="false">(F29+H29)/B29</f>
        <v>929.565217391304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90343.29</v>
      </c>
      <c r="D30" s="26" t="n">
        <v>45460</v>
      </c>
      <c r="E30" s="9" t="n">
        <v>16100</v>
      </c>
      <c r="F30" s="9"/>
      <c r="G30" s="9" t="n">
        <v>12018.8</v>
      </c>
      <c r="H30" s="9" t="n">
        <v>4036</v>
      </c>
      <c r="I30" s="9" t="n">
        <v>12728.49</v>
      </c>
      <c r="J30" s="9"/>
      <c r="K30" s="9" t="n">
        <f aca="false">(D30+E30+J30+G30+I30)/B30</f>
        <v>13920.5306451613</v>
      </c>
      <c r="L30" s="9" t="n">
        <f aca="false">(F30+H30)/B30</f>
        <v>650.967741935484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62701.79</v>
      </c>
      <c r="D31" s="9" t="n">
        <v>24745</v>
      </c>
      <c r="E31" s="9" t="n">
        <v>6000</v>
      </c>
      <c r="F31" s="9"/>
      <c r="G31" s="9" t="n">
        <v>10200.08</v>
      </c>
      <c r="H31" s="9" t="n">
        <v>12085</v>
      </c>
      <c r="I31" s="9" t="n">
        <v>9671.71</v>
      </c>
      <c r="J31" s="9"/>
      <c r="K31" s="9" t="n">
        <f aca="false">(D31+E31+J31+G31+I31)/B31</f>
        <v>9550.33773584906</v>
      </c>
      <c r="L31" s="9" t="n">
        <f aca="false">(F31+H31)/B31</f>
        <v>2280.18867924528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300222.44</v>
      </c>
      <c r="D32" s="9" t="n">
        <v>181691</v>
      </c>
      <c r="E32" s="9" t="n">
        <v>42980</v>
      </c>
      <c r="F32" s="9"/>
      <c r="G32" s="9" t="n">
        <v>16519.63</v>
      </c>
      <c r="H32" s="9" t="n">
        <v>28612</v>
      </c>
      <c r="I32" s="9" t="n">
        <v>30419.81</v>
      </c>
      <c r="J32" s="9"/>
      <c r="K32" s="9" t="n">
        <f aca="false">(D32+E32+J32+G32+I32)/B32</f>
        <v>18731.7544827586</v>
      </c>
      <c r="L32" s="9" t="n">
        <f aca="false">(F32+H32)/B32</f>
        <v>1973.24137931034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false" showOutlineSymbols="true" defaultGridColor="true" view="normal" topLeftCell="A10" colorId="64" zoomScale="118" zoomScaleNormal="118" zoomScalePageLayoutView="100" workbookViewId="0">
      <selection pane="topLeft" activeCell="F17" activeCellId="0" sqref="F17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115.6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140951.17</v>
      </c>
      <c r="D2" s="9" t="n">
        <v>67930</v>
      </c>
      <c r="E2" s="9" t="n">
        <v>24700</v>
      </c>
      <c r="F2" s="9"/>
      <c r="G2" s="9" t="n">
        <v>25410.33</v>
      </c>
      <c r="H2" s="9" t="n">
        <v>152</v>
      </c>
      <c r="I2" s="9" t="n">
        <v>22758.84</v>
      </c>
      <c r="J2" s="9"/>
      <c r="K2" s="9" t="n">
        <f aca="false">(D2+E2+J2+G2+I2)/B2</f>
        <v>14605.7230290456</v>
      </c>
      <c r="L2" s="9" t="n">
        <f aca="false">(F2+H2)/B2</f>
        <v>15.7676348547718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131705.67</v>
      </c>
      <c r="D3" s="9" t="n">
        <v>85925</v>
      </c>
      <c r="E3" s="9" t="n">
        <v>13080</v>
      </c>
      <c r="F3" s="9" t="n">
        <v>12660</v>
      </c>
      <c r="G3" s="9" t="n">
        <v>9965.84</v>
      </c>
      <c r="H3" s="9" t="n">
        <v>370</v>
      </c>
      <c r="I3" s="9" t="n">
        <v>9704.83</v>
      </c>
      <c r="J3" s="9"/>
      <c r="K3" s="9" t="n">
        <f aca="false">(D3+E3+J3+G3+I3)/B3</f>
        <v>13640.8816091954</v>
      </c>
      <c r="L3" s="9" t="n">
        <f aca="false">(F3+H3)/B3</f>
        <v>1497.70114942529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93511.67</v>
      </c>
      <c r="D4" s="9" t="n">
        <v>31290</v>
      </c>
      <c r="E4" s="9" t="n">
        <v>11750</v>
      </c>
      <c r="F4" s="9" t="n">
        <v>30720</v>
      </c>
      <c r="G4" s="9" t="n">
        <v>9965.84</v>
      </c>
      <c r="H4" s="9" t="n">
        <v>81</v>
      </c>
      <c r="I4" s="9" t="n">
        <v>9704.83</v>
      </c>
      <c r="J4" s="9"/>
      <c r="K4" s="9" t="n">
        <f aca="false">(D4+E4+J4+G4+I4)/B4</f>
        <v>9798.5421875</v>
      </c>
      <c r="L4" s="9" t="n">
        <f aca="false">(F4+H4)/B4</f>
        <v>4812.65625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13</v>
      </c>
      <c r="C5" s="9" t="n">
        <f aca="false">+D5+E5+F5+G5+H5+I5+J5</f>
        <v>289403.81</v>
      </c>
      <c r="D5" s="9" t="n">
        <v>169399</v>
      </c>
      <c r="E5" s="9" t="n">
        <v>39000</v>
      </c>
      <c r="F5" s="9"/>
      <c r="G5" s="9" t="n">
        <v>24611.93</v>
      </c>
      <c r="H5" s="9" t="n">
        <v>510</v>
      </c>
      <c r="I5" s="9" t="n">
        <v>51882.88</v>
      </c>
      <c r="J5" s="9" t="n">
        <v>4000</v>
      </c>
      <c r="K5" s="9" t="n">
        <f aca="false">(D5+E5+J5+G5+I5)/B5</f>
        <v>22222.6007692308</v>
      </c>
      <c r="L5" s="9" t="n">
        <f aca="false">(F5+H5)/B5</f>
        <v>39.2307692307692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86311.65</v>
      </c>
      <c r="D6" s="9" t="n">
        <v>33070</v>
      </c>
      <c r="E6" s="9" t="n">
        <v>10650</v>
      </c>
      <c r="F6" s="9" t="n">
        <v>12750</v>
      </c>
      <c r="G6" s="9" t="n">
        <v>13648.8</v>
      </c>
      <c r="H6" s="9" t="n">
        <v>573</v>
      </c>
      <c r="I6" s="9" t="n">
        <v>15619.85</v>
      </c>
      <c r="J6" s="9"/>
      <c r="K6" s="9" t="n">
        <f aca="false">(D6+E6+J6+G6+I6)/B6</f>
        <v>11229.0230769231</v>
      </c>
      <c r="L6" s="9" t="n">
        <f aca="false">(F6+H6)/B6</f>
        <v>2049.69230769231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128708.8</v>
      </c>
      <c r="D7" s="9" t="n">
        <v>69284</v>
      </c>
      <c r="E7" s="9" t="n">
        <v>19360</v>
      </c>
      <c r="F7" s="9"/>
      <c r="G7" s="9" t="n">
        <v>17544.21</v>
      </c>
      <c r="H7" s="9" t="n">
        <v>2580</v>
      </c>
      <c r="I7" s="9" t="n">
        <v>19940.59</v>
      </c>
      <c r="J7" s="9"/>
      <c r="K7" s="9" t="n">
        <f aca="false">(D7+E7+J7+G7+I7)/B7</f>
        <v>11776.7320261438</v>
      </c>
      <c r="L7" s="9" t="n">
        <f aca="false">(F7+H7)/B7</f>
        <v>240.896358543417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131166.88</v>
      </c>
      <c r="D8" s="9" t="n">
        <v>84606</v>
      </c>
      <c r="E8" s="9" t="n">
        <v>21575</v>
      </c>
      <c r="F8" s="9"/>
      <c r="G8" s="9" t="n">
        <v>8573.05</v>
      </c>
      <c r="H8" s="9"/>
      <c r="I8" s="9" t="n">
        <v>16412.83</v>
      </c>
      <c r="J8" s="9"/>
      <c r="K8" s="9" t="n">
        <f aca="false">(D8+E8+J8+G8+I8)/B8</f>
        <v>18167.1578947368</v>
      </c>
      <c r="L8" s="9" t="n">
        <f aca="false">(F8+H8)/B8</f>
        <v>0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185774.43</v>
      </c>
      <c r="D9" s="9" t="n">
        <v>110995</v>
      </c>
      <c r="E9" s="9" t="n">
        <v>31750</v>
      </c>
      <c r="F9" s="9"/>
      <c r="G9" s="9" t="n">
        <v>22545.78</v>
      </c>
      <c r="H9" s="9"/>
      <c r="I9" s="9" t="n">
        <v>20483.65</v>
      </c>
      <c r="J9" s="9"/>
      <c r="K9" s="9" t="n">
        <f aca="false">(D9+E9+J9+G9+I9)/B9</f>
        <v>15677.1670886076</v>
      </c>
      <c r="L9" s="9" t="n">
        <f aca="false">(F9+H9)/B9</f>
        <v>0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245564.78</v>
      </c>
      <c r="D10" s="9" t="n">
        <v>166755</v>
      </c>
      <c r="E10" s="9" t="n">
        <v>27300</v>
      </c>
      <c r="F10" s="9"/>
      <c r="G10" s="9" t="n">
        <v>19810.81</v>
      </c>
      <c r="H10" s="9" t="n">
        <v>2100</v>
      </c>
      <c r="I10" s="9" t="n">
        <v>29598.97</v>
      </c>
      <c r="J10" s="9"/>
      <c r="K10" s="9" t="n">
        <f aca="false">(D10+E10+J10+G10+I10)/B10</f>
        <v>17642.3753623188</v>
      </c>
      <c r="L10" s="9" t="n">
        <f aca="false">(F10+H10)/B10</f>
        <v>152.173913043478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142389.99</v>
      </c>
      <c r="D11" s="9" t="n">
        <v>101835</v>
      </c>
      <c r="E11" s="9" t="n">
        <v>14900</v>
      </c>
      <c r="F11" s="9"/>
      <c r="G11" s="9" t="n">
        <v>10262.34</v>
      </c>
      <c r="H11" s="9"/>
      <c r="I11" s="9" t="n">
        <v>15392.65</v>
      </c>
      <c r="J11" s="9"/>
      <c r="K11" s="9" t="n">
        <f aca="false">(D11+E11+J11+G11+I11)/B11</f>
        <v>18735.525</v>
      </c>
      <c r="L11" s="9" t="n">
        <f aca="false">(F11+H11)/B11</f>
        <v>0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214132.7</v>
      </c>
      <c r="D12" s="9" t="n">
        <v>134107</v>
      </c>
      <c r="E12" s="9" t="n">
        <v>40400</v>
      </c>
      <c r="F12" s="9"/>
      <c r="G12" s="9" t="n">
        <v>17555.08</v>
      </c>
      <c r="H12" s="9"/>
      <c r="I12" s="9" t="n">
        <v>22070.62</v>
      </c>
      <c r="J12" s="9"/>
      <c r="K12" s="9" t="n">
        <f aca="false">(D12+E12+J12+G12+I12)/B12</f>
        <v>15295.1928571429</v>
      </c>
      <c r="L12" s="9" t="n">
        <f aca="false">(F12+H12)/B12</f>
        <v>0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132393.18</v>
      </c>
      <c r="D13" s="9" t="n">
        <v>70490</v>
      </c>
      <c r="E13" s="9" t="n">
        <v>12265</v>
      </c>
      <c r="F13" s="9" t="n">
        <v>6300</v>
      </c>
      <c r="G13" s="9" t="n">
        <v>7951.02</v>
      </c>
      <c r="H13" s="9" t="n">
        <v>29400</v>
      </c>
      <c r="I13" s="9" t="n">
        <v>5987.16</v>
      </c>
      <c r="J13" s="9"/>
      <c r="K13" s="9" t="n">
        <f aca="false">(D13+E13+J13+G13+I13)/B13</f>
        <v>16223.6879194631</v>
      </c>
      <c r="L13" s="9" t="n">
        <f aca="false">(F13+H13)/B13</f>
        <v>5989.93288590604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31647.72</v>
      </c>
      <c r="D14" s="9" t="n">
        <v>23009</v>
      </c>
      <c r="E14" s="9"/>
      <c r="F14" s="9"/>
      <c r="G14" s="9" t="n">
        <v>4891.27</v>
      </c>
      <c r="H14" s="9"/>
      <c r="I14" s="9" t="n">
        <v>3747.45</v>
      </c>
      <c r="J14" s="9"/>
      <c r="K14" s="9" t="n">
        <f aca="false">(D14+E14+J14+G14+I14)/B14</f>
        <v>7192.66363636364</v>
      </c>
      <c r="L14" s="9" t="n">
        <f aca="false">(F14+H14)/B14</f>
        <v>0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71831.12</v>
      </c>
      <c r="D15" s="9" t="n">
        <v>41699</v>
      </c>
      <c r="E15" s="9" t="n">
        <v>4560</v>
      </c>
      <c r="F15" s="9"/>
      <c r="G15" s="9" t="n">
        <v>12497.96</v>
      </c>
      <c r="H15" s="9"/>
      <c r="I15" s="9" t="n">
        <v>13074.16</v>
      </c>
      <c r="J15" s="9"/>
      <c r="K15" s="9" t="n">
        <f aca="false">(D15+E15+J15+G15+I15)/B15</f>
        <v>13476.7579737336</v>
      </c>
      <c r="L15" s="9" t="n">
        <f aca="false">(F15+H15)/B15</f>
        <v>0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179070.58</v>
      </c>
      <c r="D16" s="9" t="n">
        <v>116553</v>
      </c>
      <c r="E16" s="9" t="n">
        <v>23680</v>
      </c>
      <c r="F16" s="9"/>
      <c r="G16" s="9" t="n">
        <v>9005.59</v>
      </c>
      <c r="H16" s="9"/>
      <c r="I16" s="9" t="n">
        <v>29831.99</v>
      </c>
      <c r="J16" s="9"/>
      <c r="K16" s="9" t="n">
        <f aca="false">(D16+E16+J16+G16+I16)/B16</f>
        <v>17385.4932038835</v>
      </c>
      <c r="L16" s="9" t="n">
        <f aca="false">(F16+H16)/B16</f>
        <v>0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72272.68</v>
      </c>
      <c r="D17" s="9" t="n">
        <v>32340</v>
      </c>
      <c r="E17" s="9" t="n">
        <v>9200</v>
      </c>
      <c r="F17" s="9"/>
      <c r="G17" s="9" t="n">
        <v>14675.47</v>
      </c>
      <c r="H17" s="9"/>
      <c r="I17" s="9" t="n">
        <v>16057.21</v>
      </c>
      <c r="J17" s="9"/>
      <c r="K17" s="9" t="n">
        <f aca="false">(D17+E17+J17+G17+I17)/B17</f>
        <v>12045.4466666667</v>
      </c>
      <c r="L17" s="9" t="n">
        <f aca="false">(F17+H17)/B17</f>
        <v>0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124355.76</v>
      </c>
      <c r="D18" s="9" t="n">
        <v>67115</v>
      </c>
      <c r="E18" s="9" t="n">
        <v>14000</v>
      </c>
      <c r="F18" s="9"/>
      <c r="G18" s="9" t="n">
        <v>12973.7</v>
      </c>
      <c r="H18" s="9"/>
      <c r="I18" s="9" t="n">
        <v>30267.06</v>
      </c>
      <c r="J18" s="9"/>
      <c r="K18" s="9" t="n">
        <f aca="false">(D18+E18+J18+G18+I18)/B18</f>
        <v>13229.3361702128</v>
      </c>
      <c r="L18" s="9" t="n">
        <f aca="false">(F18+H18)/B18</f>
        <v>0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124844.9</v>
      </c>
      <c r="D19" s="9" t="n">
        <v>74725</v>
      </c>
      <c r="E19" s="9" t="n">
        <v>21700</v>
      </c>
      <c r="F19" s="9"/>
      <c r="G19" s="9" t="n">
        <v>11634.11</v>
      </c>
      <c r="H19" s="9"/>
      <c r="I19" s="9" t="n">
        <v>16785.79</v>
      </c>
      <c r="J19" s="9"/>
      <c r="K19" s="9" t="n">
        <f aca="false">(D19+E19+J19+G19+I19)/B19</f>
        <v>20807.4833333333</v>
      </c>
      <c r="L19" s="9" t="n">
        <f aca="false">(F19+H19)/B19</f>
        <v>0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52654.51</v>
      </c>
      <c r="D20" s="9" t="n">
        <v>18514</v>
      </c>
      <c r="E20" s="9" t="n">
        <v>9966</v>
      </c>
      <c r="F20" s="9"/>
      <c r="G20" s="9" t="n">
        <v>16314.99</v>
      </c>
      <c r="H20" s="9"/>
      <c r="I20" s="9" t="n">
        <v>7859.52</v>
      </c>
      <c r="J20" s="9"/>
      <c r="K20" s="9" t="n">
        <f aca="false">(D20+E20+J20+G20+I20)/B20</f>
        <v>9402.59107142857</v>
      </c>
      <c r="L20" s="9" t="n">
        <f aca="false">(F20+H20)/B20</f>
        <v>0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81852.65</v>
      </c>
      <c r="D21" s="9" t="n">
        <v>42132</v>
      </c>
      <c r="E21" s="9" t="n">
        <v>14430</v>
      </c>
      <c r="F21" s="9"/>
      <c r="G21" s="9" t="n">
        <v>16940.27</v>
      </c>
      <c r="H21" s="9"/>
      <c r="I21" s="9" t="n">
        <v>8350.38</v>
      </c>
      <c r="J21" s="9"/>
      <c r="K21" s="9" t="n">
        <f aca="false">(D21+E21+J21+G21+I21)/B21</f>
        <v>11061.1689189189</v>
      </c>
      <c r="L21" s="9" t="n">
        <f aca="false">(F21+H21)/B21</f>
        <v>0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105242.53</v>
      </c>
      <c r="D22" s="9" t="n">
        <v>64820</v>
      </c>
      <c r="E22" s="9" t="n">
        <v>11550</v>
      </c>
      <c r="F22" s="9"/>
      <c r="G22" s="9" t="n">
        <v>16483.12</v>
      </c>
      <c r="H22" s="9"/>
      <c r="I22" s="9" t="n">
        <v>12389.41</v>
      </c>
      <c r="J22" s="9"/>
      <c r="K22" s="9" t="n">
        <f aca="false">(D22+E22+J22+G22+I22)/B22</f>
        <v>12787.6707168894</v>
      </c>
      <c r="L22" s="9" t="n">
        <f aca="false">(F22+H22)/B22</f>
        <v>0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64448.43</v>
      </c>
      <c r="D23" s="9" t="n">
        <v>51280</v>
      </c>
      <c r="E23" s="9" t="n">
        <v>7725</v>
      </c>
      <c r="F23" s="9"/>
      <c r="G23" s="9" t="n">
        <v>3243.07</v>
      </c>
      <c r="H23" s="9"/>
      <c r="I23" s="9" t="n">
        <v>2200.36</v>
      </c>
      <c r="J23" s="9"/>
      <c r="K23" s="9" t="n">
        <f aca="false">(D23+E23+J23+G23+I23)/B23</f>
        <v>12160.0811320755</v>
      </c>
      <c r="L23" s="9" t="n">
        <f aca="false">(F23+H23)/B23</f>
        <v>0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314908.63</v>
      </c>
      <c r="D24" s="9" t="n">
        <v>212070</v>
      </c>
      <c r="E24" s="9" t="n">
        <v>46075</v>
      </c>
      <c r="F24" s="20"/>
      <c r="G24" s="9" t="n">
        <v>26357.98</v>
      </c>
      <c r="H24" s="9"/>
      <c r="I24" s="9" t="n">
        <v>30405.65</v>
      </c>
      <c r="J24" s="9"/>
      <c r="K24" s="9" t="n">
        <f aca="false">(D24+E24+J24+G24+I24)/B24</f>
        <v>12646.9329317269</v>
      </c>
      <c r="L24" s="9" t="n">
        <f aca="false">(F24+H24)/B24</f>
        <v>0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168737.39</v>
      </c>
      <c r="D25" s="9" t="n">
        <v>82420</v>
      </c>
      <c r="E25" s="9" t="n">
        <v>40625</v>
      </c>
      <c r="F25" s="9"/>
      <c r="G25" s="9" t="n">
        <v>21153.5</v>
      </c>
      <c r="H25" s="9"/>
      <c r="I25" s="9" t="n">
        <v>24538.89</v>
      </c>
      <c r="J25" s="9"/>
      <c r="K25" s="9" t="n">
        <f aca="false">(D25+E25+J25+G25+I25)/B25</f>
        <v>15551.8331797235</v>
      </c>
      <c r="L25" s="9" t="n">
        <f aca="false">(F25+H25)/B25</f>
        <v>0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31560.04</v>
      </c>
      <c r="D26" s="9" t="n">
        <v>10580</v>
      </c>
      <c r="E26" s="9" t="n">
        <v>8490</v>
      </c>
      <c r="F26" s="9"/>
      <c r="G26" s="9" t="n">
        <v>5549.66</v>
      </c>
      <c r="H26" s="9"/>
      <c r="I26" s="9" t="n">
        <v>6940.38</v>
      </c>
      <c r="J26" s="9"/>
      <c r="K26" s="9" t="n">
        <f aca="false">(D26+E26+J26+G26+I26)/B26</f>
        <v>9042.99140401146</v>
      </c>
      <c r="L26" s="9" t="n">
        <f aca="false">(F26+H26)/B26</f>
        <v>0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71112.83</v>
      </c>
      <c r="D27" s="9" t="n">
        <v>38178</v>
      </c>
      <c r="E27" s="9" t="n">
        <v>12540</v>
      </c>
      <c r="F27" s="9"/>
      <c r="G27" s="9" t="n">
        <v>10263.56</v>
      </c>
      <c r="H27" s="9"/>
      <c r="I27" s="9" t="n">
        <v>10131.27</v>
      </c>
      <c r="J27" s="9"/>
      <c r="K27" s="9" t="n">
        <f aca="false">(D27+E27+J27+G27+I27)/B27</f>
        <v>12813.1225225225</v>
      </c>
      <c r="L27" s="9" t="n">
        <f aca="false">(F27+H27)/B27</f>
        <v>0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85738.29</v>
      </c>
      <c r="D28" s="9" t="n">
        <v>48445</v>
      </c>
      <c r="E28" s="9" t="n">
        <v>16790</v>
      </c>
      <c r="F28" s="9"/>
      <c r="G28" s="9" t="n">
        <v>10383.34</v>
      </c>
      <c r="H28" s="9"/>
      <c r="I28" s="9" t="n">
        <v>10119.95</v>
      </c>
      <c r="J28" s="9"/>
      <c r="K28" s="9" t="n">
        <f aca="false">(D28+E28+J28+G28+I28)/B28</f>
        <v>14242.2408637874</v>
      </c>
      <c r="L28" s="9" t="n">
        <f aca="false">(F28+H28)/B28</f>
        <v>0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188199.37</v>
      </c>
      <c r="D29" s="9" t="n">
        <v>126647</v>
      </c>
      <c r="E29" s="9" t="n">
        <v>29950</v>
      </c>
      <c r="F29" s="9"/>
      <c r="G29" s="9" t="n">
        <v>13444.77</v>
      </c>
      <c r="H29" s="9"/>
      <c r="I29" s="9" t="n">
        <v>18157.6</v>
      </c>
      <c r="J29" s="9"/>
      <c r="K29" s="9" t="n">
        <f aca="false">(D29+E29+J29+G29+I29)/B29</f>
        <v>16365.1626086957</v>
      </c>
      <c r="L29" s="9" t="n">
        <f aca="false">(F29+H29)/B29</f>
        <v>0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87381.29</v>
      </c>
      <c r="D30" s="26" t="n">
        <v>46534</v>
      </c>
      <c r="E30" s="9" t="n">
        <v>16100</v>
      </c>
      <c r="F30" s="9"/>
      <c r="G30" s="9" t="n">
        <v>12018.8</v>
      </c>
      <c r="H30" s="9"/>
      <c r="I30" s="9" t="n">
        <v>12728.49</v>
      </c>
      <c r="J30" s="9"/>
      <c r="K30" s="9" t="n">
        <f aca="false">(D30+E30+J30+G30+I30)/B30</f>
        <v>14093.7564516129</v>
      </c>
      <c r="L30" s="9" t="n">
        <f aca="false">(F30+H30)/B30</f>
        <v>0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45211.79</v>
      </c>
      <c r="D31" s="9" t="n">
        <v>19080</v>
      </c>
      <c r="E31" s="9" t="n">
        <v>6000</v>
      </c>
      <c r="F31" s="9"/>
      <c r="G31" s="9" t="n">
        <v>10200.08</v>
      </c>
      <c r="H31" s="9" t="n">
        <v>260</v>
      </c>
      <c r="I31" s="9" t="n">
        <v>9671.71</v>
      </c>
      <c r="J31" s="9"/>
      <c r="K31" s="9" t="n">
        <f aca="false">(D31+E31+J31+G31+I31)/B31</f>
        <v>8481.46981132076</v>
      </c>
      <c r="L31" s="9" t="n">
        <f aca="false">(F31+H31)/B31</f>
        <v>49.0566037735849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351826.44</v>
      </c>
      <c r="D32" s="9" t="n">
        <v>256537</v>
      </c>
      <c r="E32" s="9" t="n">
        <v>45070</v>
      </c>
      <c r="F32" s="9"/>
      <c r="G32" s="9" t="n">
        <v>16519.63</v>
      </c>
      <c r="H32" s="9"/>
      <c r="I32" s="9" t="n">
        <v>30419.81</v>
      </c>
      <c r="J32" s="9" t="n">
        <v>3280</v>
      </c>
      <c r="K32" s="9" t="n">
        <f aca="false">(D32+E32+J32+G32+I32)/B32</f>
        <v>24263.8924137931</v>
      </c>
      <c r="L32" s="9" t="n">
        <f aca="false">(F32+H32)/B32</f>
        <v>0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autoFilter ref="A7:AP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"/>
  <sheetViews>
    <sheetView showFormulas="false" showGridLines="true" showRowColHeaders="true" showZeros="true" rightToLeft="false" tabSelected="true" showOutlineSymbols="true" defaultGridColor="true" view="normal" topLeftCell="D1" colorId="64" zoomScale="118" zoomScaleNormal="118" zoomScalePageLayoutView="100" workbookViewId="0">
      <pane xSplit="0" ySplit="7" topLeftCell="A8" activePane="bottomLeft" state="frozen"/>
      <selection pane="topLeft" activeCell="D1" activeCellId="0" sqref="D1"/>
      <selection pane="bottomLeft" activeCell="D8" activeCellId="0" sqref="D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9.14"/>
    <col collapsed="false" customWidth="true" hidden="false" outlineLevel="0" max="10" min="3" style="1" width="17.15"/>
    <col collapsed="false" customWidth="true" hidden="false" outlineLevel="0" max="11" min="11" style="1" width="16"/>
    <col collapsed="false" customWidth="true" hidden="false" outlineLevel="0" max="12" min="12" style="1" width="15.85"/>
    <col collapsed="false" customWidth="true" hidden="false" outlineLevel="0" max="13" min="13" style="0" width="15.85"/>
    <col collapsed="false" customWidth="true" hidden="false" outlineLevel="0" max="16384" min="16353" style="0" width="11.53"/>
  </cols>
  <sheetData>
    <row r="1" customFormat="false" ht="52.2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3" t="s">
        <v>11</v>
      </c>
      <c r="M1" s="3" t="s">
        <v>12</v>
      </c>
    </row>
    <row r="2" s="10" customFormat="true" ht="55.5" hidden="false" customHeight="true" outlineLevel="0" collapsed="false">
      <c r="A2" s="7" t="s">
        <v>13</v>
      </c>
      <c r="B2" s="8" t="n">
        <v>9.64</v>
      </c>
      <c r="C2" s="9" t="n">
        <f aca="false">+D2+E2+F2+G2+H2+I2+J2</f>
        <v>143497.39</v>
      </c>
      <c r="D2" s="9" t="n">
        <v>63201</v>
      </c>
      <c r="E2" s="9" t="n">
        <v>17600</v>
      </c>
      <c r="F2" s="9"/>
      <c r="G2" s="9" t="n">
        <v>24157.01</v>
      </c>
      <c r="H2" s="9" t="n">
        <v>3400</v>
      </c>
      <c r="I2" s="9" t="n">
        <v>25594.38</v>
      </c>
      <c r="J2" s="9" t="n">
        <v>9545</v>
      </c>
      <c r="K2" s="9" t="n">
        <f aca="false">(D2+E2+J2+G2+I2)/B2</f>
        <v>14532.9242738589</v>
      </c>
      <c r="L2" s="9" t="n">
        <f aca="false">(F2+H2)/B2</f>
        <v>352.697095435685</v>
      </c>
      <c r="M2" s="9" t="e">
        <f aca="false">#REF!/#REF!</f>
        <v>#REF!</v>
      </c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</row>
    <row r="3" s="10" customFormat="true" ht="55.5" hidden="false" customHeight="true" outlineLevel="0" collapsed="false">
      <c r="A3" s="7" t="s">
        <v>14</v>
      </c>
      <c r="B3" s="8" t="n">
        <v>8.7</v>
      </c>
      <c r="C3" s="9" t="n">
        <f aca="false">+D3+E3+F3+G3+H3+I3+J3</f>
        <v>88682.72</v>
      </c>
      <c r="D3" s="9" t="n">
        <v>53620</v>
      </c>
      <c r="E3" s="9"/>
      <c r="F3" s="9"/>
      <c r="G3" s="9" t="n">
        <v>9410.81</v>
      </c>
      <c r="H3" s="9" t="n">
        <v>8570</v>
      </c>
      <c r="I3" s="9" t="n">
        <v>10491.91</v>
      </c>
      <c r="J3" s="9" t="n">
        <v>6590</v>
      </c>
      <c r="K3" s="9" t="n">
        <f aca="false">(D3+E3+J3+G3+I3)/B3</f>
        <v>9208.35862068966</v>
      </c>
      <c r="L3" s="9" t="n">
        <f aca="false">(F3+H3)/B3</f>
        <v>985.057471264368</v>
      </c>
      <c r="M3" s="9" t="e">
        <f aca="false">#REF!/#REF!</f>
        <v>#REF!</v>
      </c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</row>
    <row r="4" s="10" customFormat="true" ht="55.5" hidden="false" customHeight="true" outlineLevel="0" collapsed="false">
      <c r="A4" s="7" t="s">
        <v>15</v>
      </c>
      <c r="B4" s="8" t="n">
        <v>6.4</v>
      </c>
      <c r="C4" s="9" t="n">
        <f aca="false">+D4+E4+F4+G4+H4+I4+J4</f>
        <v>82987.72</v>
      </c>
      <c r="D4" s="9" t="n">
        <v>43645</v>
      </c>
      <c r="E4" s="9" t="n">
        <v>11750</v>
      </c>
      <c r="F4" s="9"/>
      <c r="G4" s="9" t="n">
        <v>9410.81</v>
      </c>
      <c r="H4" s="9" t="n">
        <v>7690</v>
      </c>
      <c r="I4" s="9" t="n">
        <v>10491.91</v>
      </c>
      <c r="J4" s="9"/>
      <c r="K4" s="9" t="n">
        <f aca="false">(D4+E4+J4+G4+I4)/B4</f>
        <v>11765.26875</v>
      </c>
      <c r="L4" s="9" t="n">
        <f aca="false">(F4+H4)/B4</f>
        <v>1201.5625</v>
      </c>
      <c r="M4" s="9" t="e">
        <f aca="false">#REF!/#REF!</f>
        <v>#REF!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</row>
    <row r="5" s="10" customFormat="true" ht="55.5" hidden="false" customHeight="true" outlineLevel="0" collapsed="false">
      <c r="A5" s="7" t="s">
        <v>16</v>
      </c>
      <c r="B5" s="8" t="n">
        <v>13</v>
      </c>
      <c r="C5" s="9" t="n">
        <f aca="false">+D5+E5+F5+G5+H5+I5+J5</f>
        <v>309074.79</v>
      </c>
      <c r="D5" s="9" t="n">
        <v>161926</v>
      </c>
      <c r="E5" s="9" t="n">
        <v>39000</v>
      </c>
      <c r="F5" s="9"/>
      <c r="G5" s="9" t="n">
        <v>28371.92</v>
      </c>
      <c r="H5" s="9" t="n">
        <v>19895</v>
      </c>
      <c r="I5" s="9" t="n">
        <v>50676.87</v>
      </c>
      <c r="J5" s="9" t="n">
        <v>9205</v>
      </c>
      <c r="K5" s="9" t="n">
        <f aca="false">(D5+E5+J5+G5+I5)/B5</f>
        <v>22244.5992307692</v>
      </c>
      <c r="L5" s="9" t="n">
        <f aca="false">(F5+H5)/B5</f>
        <v>1530.38461538462</v>
      </c>
      <c r="M5" s="9" t="e">
        <f aca="false">#REF!/#REF!</f>
        <v>#REF!</v>
      </c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</row>
    <row r="6" s="10" customFormat="true" ht="55.5" hidden="false" customHeight="true" outlineLevel="0" collapsed="false">
      <c r="A6" s="7" t="s">
        <v>17</v>
      </c>
      <c r="B6" s="8" t="n">
        <v>6.5</v>
      </c>
      <c r="C6" s="9" t="n">
        <f aca="false">+D6+E6+F6+G6+H6+I6+J6</f>
        <v>74714.41</v>
      </c>
      <c r="D6" s="9" t="n">
        <v>32440</v>
      </c>
      <c r="E6" s="9" t="n">
        <v>10650</v>
      </c>
      <c r="F6" s="9"/>
      <c r="G6" s="9" t="n">
        <v>13970.57</v>
      </c>
      <c r="H6" s="9" t="n">
        <v>2000</v>
      </c>
      <c r="I6" s="9" t="n">
        <v>15653.84</v>
      </c>
      <c r="J6" s="9"/>
      <c r="K6" s="9" t="n">
        <f aca="false">(D6+E6+J6+G6+I6)/B6</f>
        <v>11186.8323076923</v>
      </c>
      <c r="L6" s="9" t="n">
        <f aca="false">(F6+H6)/B6</f>
        <v>307.692307692308</v>
      </c>
      <c r="M6" s="9" t="e">
        <f aca="false">#REF!/#REF!</f>
        <v>#REF!</v>
      </c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</row>
    <row r="7" s="10" customFormat="true" ht="55.5" hidden="false" customHeight="true" outlineLevel="0" collapsed="false">
      <c r="A7" s="7" t="s">
        <v>18</v>
      </c>
      <c r="B7" s="8" t="n">
        <v>10.71</v>
      </c>
      <c r="C7" s="9" t="n">
        <f aca="false">+D7+E7+F7+G7+H7+I7+J7</f>
        <v>148457.18</v>
      </c>
      <c r="D7" s="9" t="n">
        <v>84780</v>
      </c>
      <c r="E7" s="9" t="n">
        <v>17800</v>
      </c>
      <c r="F7" s="9"/>
      <c r="G7" s="9" t="n">
        <v>17682.32</v>
      </c>
      <c r="H7" s="9" t="n">
        <v>7210</v>
      </c>
      <c r="I7" s="9" t="n">
        <v>20984.86</v>
      </c>
      <c r="J7" s="9"/>
      <c r="K7" s="9" t="n">
        <f aca="false">(D7+E7+J7+G7+I7)/B7</f>
        <v>13188.3454715219</v>
      </c>
      <c r="L7" s="9" t="n">
        <f aca="false">(F7+H7)/B7</f>
        <v>673.202614379085</v>
      </c>
      <c r="M7" s="9" t="e">
        <f aca="false">#REF!/#REF!</f>
        <v>#REF!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</row>
    <row r="8" s="10" customFormat="true" ht="55.5" hidden="false" customHeight="true" outlineLevel="0" collapsed="false">
      <c r="A8" s="7" t="s">
        <v>19</v>
      </c>
      <c r="B8" s="8" t="n">
        <v>7.22</v>
      </c>
      <c r="C8" s="9" t="n">
        <f aca="false">+D8+E8+F8+G8+H8+I8+J8</f>
        <v>125059.65</v>
      </c>
      <c r="D8" s="9" t="n">
        <v>79364</v>
      </c>
      <c r="E8" s="9" t="n">
        <v>17952</v>
      </c>
      <c r="F8" s="9"/>
      <c r="G8" s="9" t="n">
        <v>8573.05</v>
      </c>
      <c r="H8" s="9"/>
      <c r="I8" s="9" t="n">
        <v>19170.6</v>
      </c>
      <c r="J8" s="9"/>
      <c r="K8" s="9" t="n">
        <f aca="false">(D8+E8+J8+G8+I8)/B8</f>
        <v>17321.2811634349</v>
      </c>
      <c r="L8" s="9" t="n">
        <f aca="false">(F8+H8)/B8</f>
        <v>0</v>
      </c>
      <c r="M8" s="9" t="e">
        <f aca="false">#REF!/#REF!</f>
        <v>#REF!</v>
      </c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</row>
    <row r="9" s="10" customFormat="true" ht="55.5" hidden="false" customHeight="true" outlineLevel="0" collapsed="false">
      <c r="A9" s="7" t="s">
        <v>20</v>
      </c>
      <c r="B9" s="8" t="n">
        <v>11.85</v>
      </c>
      <c r="C9" s="9" t="n">
        <f aca="false">+D9+E9+F9+G9+H9+I9+J9</f>
        <v>213677.73</v>
      </c>
      <c r="D9" s="9" t="n">
        <v>110485</v>
      </c>
      <c r="E9" s="9" t="n">
        <v>47530</v>
      </c>
      <c r="F9" s="9"/>
      <c r="G9" s="9" t="n">
        <v>25438.46</v>
      </c>
      <c r="H9" s="9" t="n">
        <v>7063</v>
      </c>
      <c r="I9" s="9" t="n">
        <v>23161.27</v>
      </c>
      <c r="J9" s="9"/>
      <c r="K9" s="9" t="n">
        <f aca="false">(D9+E9+J9+G9+I9)/B9</f>
        <v>17435.8421940928</v>
      </c>
      <c r="L9" s="9" t="n">
        <f aca="false">(F9+H9)/B9</f>
        <v>596.033755274262</v>
      </c>
      <c r="M9" s="9" t="e">
        <f aca="false">#REF!/#REF!</f>
        <v>#REF!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</row>
    <row r="10" s="10" customFormat="true" ht="55.5" hidden="false" customHeight="true" outlineLevel="0" collapsed="false">
      <c r="A10" s="7" t="s">
        <v>21</v>
      </c>
      <c r="B10" s="8" t="n">
        <v>13.8</v>
      </c>
      <c r="C10" s="9" t="n">
        <f aca="false">+D10+E10+F10+G10+H10+I10+J10</f>
        <v>176628.08</v>
      </c>
      <c r="D10" s="9" t="n">
        <v>106817</v>
      </c>
      <c r="E10" s="9" t="n">
        <v>18100</v>
      </c>
      <c r="F10" s="9"/>
      <c r="G10" s="9" t="n">
        <v>17651.8</v>
      </c>
      <c r="H10" s="9" t="n">
        <v>3869</v>
      </c>
      <c r="I10" s="9" t="n">
        <v>30190.28</v>
      </c>
      <c r="J10" s="9"/>
      <c r="K10" s="9" t="n">
        <f aca="false">(D10+E10+J10+G10+I10)/B10</f>
        <v>12518.7739130435</v>
      </c>
      <c r="L10" s="9" t="n">
        <f aca="false">(F10+H10)/B10</f>
        <v>280.36231884058</v>
      </c>
      <c r="M10" s="9" t="e">
        <f aca="false">#REF!/#REF!</f>
        <v>#REF!</v>
      </c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</row>
    <row r="11" s="10" customFormat="true" ht="55.5" hidden="false" customHeight="true" outlineLevel="0" collapsed="false">
      <c r="A11" s="19" t="s">
        <v>22</v>
      </c>
      <c r="B11" s="8" t="n">
        <v>7.6</v>
      </c>
      <c r="C11" s="9" t="n">
        <f aca="false">+D11+E11+F11+G11+H11+I11+J11</f>
        <v>154126.27</v>
      </c>
      <c r="D11" s="9" t="n">
        <v>82380</v>
      </c>
      <c r="E11" s="9" t="n">
        <v>14900</v>
      </c>
      <c r="F11" s="9" t="n">
        <v>24000</v>
      </c>
      <c r="G11" s="9" t="n">
        <v>10453.63</v>
      </c>
      <c r="H11" s="9" t="n">
        <v>2868</v>
      </c>
      <c r="I11" s="9" t="n">
        <v>19524.64</v>
      </c>
      <c r="J11" s="9"/>
      <c r="K11" s="9" t="n">
        <f aca="false">(D11+E11+J11+G11+I11)/B11</f>
        <v>16744.5092105263</v>
      </c>
      <c r="L11" s="9" t="n">
        <f aca="false">(F11+H11)/B11</f>
        <v>3535.26315789474</v>
      </c>
      <c r="M11" s="9" t="e">
        <f aca="false">#REF!/#REF!</f>
        <v>#REF!</v>
      </c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</row>
    <row r="12" s="10" customFormat="true" ht="55.5" hidden="false" customHeight="true" outlineLevel="0" collapsed="false">
      <c r="A12" s="7" t="s">
        <v>23</v>
      </c>
      <c r="B12" s="8" t="n">
        <v>14</v>
      </c>
      <c r="C12" s="9" t="n">
        <f aca="false">+D12+E12+F12+G12+H12+I12+J12</f>
        <v>241329.79</v>
      </c>
      <c r="D12" s="9" t="n">
        <v>154940</v>
      </c>
      <c r="E12" s="9" t="n">
        <v>38300</v>
      </c>
      <c r="F12" s="9"/>
      <c r="G12" s="9" t="n">
        <v>17055.15</v>
      </c>
      <c r="H12" s="9" t="n">
        <v>4956</v>
      </c>
      <c r="I12" s="9" t="n">
        <v>26078.64</v>
      </c>
      <c r="J12" s="9"/>
      <c r="K12" s="9" t="n">
        <f aca="false">(D12+E12+J12+G12+I12)/B12</f>
        <v>16883.8421428571</v>
      </c>
      <c r="L12" s="9" t="n">
        <f aca="false">(F12+H12)/B12</f>
        <v>354</v>
      </c>
      <c r="M12" s="9" t="e">
        <f aca="false">#REF!/#REF!</f>
        <v>#REF!</v>
      </c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</row>
    <row r="13" s="10" customFormat="true" ht="55.5" hidden="false" customHeight="true" outlineLevel="0" collapsed="false">
      <c r="A13" s="7" t="s">
        <v>24</v>
      </c>
      <c r="B13" s="8" t="n">
        <v>5.96</v>
      </c>
      <c r="C13" s="9" t="n">
        <f aca="false">+D13+E13+F13+G13+H13+I13+J13</f>
        <v>95708.48</v>
      </c>
      <c r="D13" s="9" t="n">
        <v>67382</v>
      </c>
      <c r="E13" s="9" t="n">
        <v>12265</v>
      </c>
      <c r="F13" s="9"/>
      <c r="G13" s="9" t="n">
        <v>7951.02</v>
      </c>
      <c r="H13" s="9" t="n">
        <v>800</v>
      </c>
      <c r="I13" s="9" t="n">
        <v>7310.46</v>
      </c>
      <c r="J13" s="9"/>
      <c r="K13" s="9" t="n">
        <f aca="false">(D13+E13+J13+G13+I13)/B13</f>
        <v>15924.2416107383</v>
      </c>
      <c r="L13" s="9" t="n">
        <f aca="false">(F13+H13)/B13</f>
        <v>134.228187919463</v>
      </c>
      <c r="M13" s="9" t="e">
        <f aca="false">#REF!/#REF!</f>
        <v>#REF!</v>
      </c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</row>
    <row r="14" s="10" customFormat="true" ht="55.5" hidden="false" customHeight="true" outlineLevel="0" collapsed="false">
      <c r="A14" s="19" t="s">
        <v>25</v>
      </c>
      <c r="B14" s="8" t="n">
        <v>4.4</v>
      </c>
      <c r="C14" s="9" t="n">
        <f aca="false">+D14+E14+F14+G14+H14+I14+J14</f>
        <v>45279.45</v>
      </c>
      <c r="D14" s="9" t="n">
        <v>35470</v>
      </c>
      <c r="E14" s="9"/>
      <c r="F14" s="9"/>
      <c r="G14" s="9" t="n">
        <v>5000.64</v>
      </c>
      <c r="H14" s="9" t="n">
        <v>1890</v>
      </c>
      <c r="I14" s="9" t="n">
        <v>2918.81</v>
      </c>
      <c r="J14" s="9"/>
      <c r="K14" s="9" t="n">
        <f aca="false">(D14+E14+J14+G14+I14)/B14</f>
        <v>9861.23863636363</v>
      </c>
      <c r="L14" s="9" t="n">
        <f aca="false">(F14+H14)/B14</f>
        <v>429.545454545455</v>
      </c>
      <c r="M14" s="9" t="e">
        <f aca="false">#REF!/#REF!</f>
        <v>#REF!</v>
      </c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</row>
    <row r="15" s="10" customFormat="true" ht="55.5" hidden="false" customHeight="true" outlineLevel="0" collapsed="false">
      <c r="A15" s="19" t="s">
        <v>26</v>
      </c>
      <c r="B15" s="8" t="n">
        <v>5.33</v>
      </c>
      <c r="C15" s="9" t="n">
        <f aca="false">+D15+E15+F15+G15+H15+I15+J15</f>
        <v>80981.24</v>
      </c>
      <c r="D15" s="9" t="n">
        <v>44205</v>
      </c>
      <c r="E15" s="9" t="n">
        <v>6720</v>
      </c>
      <c r="F15" s="9"/>
      <c r="G15" s="9" t="n">
        <v>9152.91</v>
      </c>
      <c r="H15" s="9" t="n">
        <v>9081</v>
      </c>
      <c r="I15" s="9" t="n">
        <v>11822.33</v>
      </c>
      <c r="J15" s="9"/>
      <c r="K15" s="9" t="n">
        <f aca="false">(D15+E15+J15+G15+I15)/B15</f>
        <v>13489.7260787993</v>
      </c>
      <c r="L15" s="9" t="n">
        <f aca="false">(F15+H15)/B15</f>
        <v>1703.75234521576</v>
      </c>
      <c r="M15" s="9" t="e">
        <f aca="false">#REF!/#REF!</f>
        <v>#REF!</v>
      </c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</row>
    <row r="16" s="10" customFormat="true" ht="55.5" hidden="false" customHeight="true" outlineLevel="0" collapsed="false">
      <c r="A16" s="19" t="s">
        <v>27</v>
      </c>
      <c r="B16" s="8" t="n">
        <v>10.3</v>
      </c>
      <c r="C16" s="9" t="n">
        <f aca="false">+D16+E16+F16+G16+H16+I16+J16</f>
        <v>197611.15</v>
      </c>
      <c r="D16" s="9" t="n">
        <v>129725</v>
      </c>
      <c r="E16" s="9" t="n">
        <v>18090</v>
      </c>
      <c r="F16" s="9"/>
      <c r="G16" s="9" t="n">
        <v>11750.82</v>
      </c>
      <c r="H16" s="9" t="n">
        <v>8528</v>
      </c>
      <c r="I16" s="9" t="n">
        <v>28647.33</v>
      </c>
      <c r="J16" s="9" t="n">
        <v>870</v>
      </c>
      <c r="K16" s="9" t="n">
        <f aca="false">(D16+E16+J16+G16+I16)/B16</f>
        <v>18357.5873786408</v>
      </c>
      <c r="L16" s="9" t="n">
        <f aca="false">(F16+H16)/B16</f>
        <v>827.961165048544</v>
      </c>
      <c r="M16" s="9" t="e">
        <f aca="false">#REF!/#REF!</f>
        <v>#REF!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</row>
    <row r="17" s="10" customFormat="true" ht="55.5" hidden="false" customHeight="true" outlineLevel="0" collapsed="false">
      <c r="A17" s="19" t="s">
        <v>28</v>
      </c>
      <c r="B17" s="8" t="n">
        <v>6</v>
      </c>
      <c r="C17" s="9" t="n">
        <f aca="false">+D17+E17+F17+G17+H17+I17+J17</f>
        <v>84253.99</v>
      </c>
      <c r="D17" s="9" t="n">
        <v>42760</v>
      </c>
      <c r="E17" s="9" t="n">
        <v>9200</v>
      </c>
      <c r="F17" s="9"/>
      <c r="G17" s="9" t="n">
        <v>12169.04</v>
      </c>
      <c r="H17" s="9" t="n">
        <v>3636</v>
      </c>
      <c r="I17" s="9" t="n">
        <v>16488.95</v>
      </c>
      <c r="J17" s="9"/>
      <c r="K17" s="9" t="n">
        <f aca="false">(D17+E17+J17+G17+I17)/B17</f>
        <v>13436.3316666667</v>
      </c>
      <c r="L17" s="9" t="n">
        <f aca="false">(F17+H17)/B17</f>
        <v>606</v>
      </c>
      <c r="M17" s="9" t="e">
        <f aca="false">#REF!/#REF!</f>
        <v>#REF!</v>
      </c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</row>
    <row r="18" s="10" customFormat="true" ht="55.5" hidden="false" customHeight="true" outlineLevel="0" collapsed="false">
      <c r="A18" s="19" t="s">
        <v>29</v>
      </c>
      <c r="B18" s="8" t="n">
        <v>9.4</v>
      </c>
      <c r="C18" s="9" t="n">
        <f aca="false">+D18+E18+F18+G18+H18+I18+J18</f>
        <v>123075.5</v>
      </c>
      <c r="D18" s="9" t="n">
        <v>61910</v>
      </c>
      <c r="E18" s="9" t="n">
        <v>12300</v>
      </c>
      <c r="F18" s="9"/>
      <c r="G18" s="9" t="n">
        <v>16460.97</v>
      </c>
      <c r="H18" s="9" t="n">
        <v>9589</v>
      </c>
      <c r="I18" s="9" t="n">
        <v>22815.53</v>
      </c>
      <c r="J18" s="9"/>
      <c r="K18" s="9" t="n">
        <f aca="false">(D18+E18+J18+G18+I18)/B18</f>
        <v>12073.0319148936</v>
      </c>
      <c r="L18" s="9" t="n">
        <f aca="false">(F18+H18)/B18</f>
        <v>1020.10638297872</v>
      </c>
      <c r="M18" s="9" t="e">
        <f aca="false">#REF!/#REF!</f>
        <v>#REF!</v>
      </c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</row>
    <row r="19" s="10" customFormat="true" ht="55.5" hidden="false" customHeight="true" outlineLevel="0" collapsed="false">
      <c r="A19" s="19" t="s">
        <v>30</v>
      </c>
      <c r="B19" s="8" t="n">
        <v>6</v>
      </c>
      <c r="C19" s="9" t="n">
        <f aca="false">+D19+E19+F19+G19+H19+I19+J19</f>
        <v>119697.29</v>
      </c>
      <c r="D19" s="9" t="n">
        <v>70760</v>
      </c>
      <c r="E19" s="9" t="n">
        <v>16200</v>
      </c>
      <c r="F19" s="9"/>
      <c r="G19" s="9" t="n">
        <v>9765.13</v>
      </c>
      <c r="H19" s="9" t="n">
        <v>3581</v>
      </c>
      <c r="I19" s="9" t="n">
        <v>19391.16</v>
      </c>
      <c r="J19" s="9"/>
      <c r="K19" s="9" t="n">
        <f aca="false">(D19+E19+J19+G19+I19)/B19</f>
        <v>19352.715</v>
      </c>
      <c r="L19" s="9" t="n">
        <f aca="false">(F19+H19)/B19</f>
        <v>596.833333333333</v>
      </c>
      <c r="M19" s="9" t="e">
        <f aca="false">#REF!/#REF!</f>
        <v>#REF!</v>
      </c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</row>
    <row r="20" s="10" customFormat="true" ht="55.5" hidden="false" customHeight="true" outlineLevel="0" collapsed="false">
      <c r="A20" s="19" t="s">
        <v>31</v>
      </c>
      <c r="B20" s="8" t="n">
        <v>5.6</v>
      </c>
      <c r="C20" s="9" t="n">
        <f aca="false">+D20+E20+F20+G20+H20+I20+J20</f>
        <v>61557.28</v>
      </c>
      <c r="D20" s="9" t="n">
        <v>19965</v>
      </c>
      <c r="E20" s="9" t="n">
        <v>11820</v>
      </c>
      <c r="F20" s="9"/>
      <c r="G20" s="9" t="n">
        <v>16315</v>
      </c>
      <c r="H20" s="9" t="n">
        <v>3420</v>
      </c>
      <c r="I20" s="9" t="n">
        <v>10037.28</v>
      </c>
      <c r="J20" s="9"/>
      <c r="K20" s="9" t="n">
        <f aca="false">(D20+E20+J20+G20+I20)/B20</f>
        <v>10381.6571428571</v>
      </c>
      <c r="L20" s="9" t="n">
        <f aca="false">(F20+H20)/B20</f>
        <v>610.714285714286</v>
      </c>
      <c r="M20" s="9" t="e">
        <f aca="false">#REF!/#REF!</f>
        <v>#REF!</v>
      </c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</row>
    <row r="21" s="10" customFormat="true" ht="55.5" hidden="false" customHeight="true" outlineLevel="0" collapsed="false">
      <c r="A21" s="19" t="s">
        <v>32</v>
      </c>
      <c r="B21" s="8" t="n">
        <v>7.4</v>
      </c>
      <c r="C21" s="9" t="n">
        <f aca="false">+D21+E21+F21+G21+H21+I21+J21</f>
        <v>81421.8</v>
      </c>
      <c r="D21" s="9" t="n">
        <v>40375</v>
      </c>
      <c r="E21" s="9" t="n">
        <v>11750</v>
      </c>
      <c r="F21" s="9"/>
      <c r="G21" s="9" t="n">
        <v>17011.74</v>
      </c>
      <c r="H21" s="9" t="n">
        <v>2285</v>
      </c>
      <c r="I21" s="9" t="n">
        <v>10000.06</v>
      </c>
      <c r="J21" s="9"/>
      <c r="K21" s="9" t="n">
        <f aca="false">(D21+E21+J21+G21+I21)/B21</f>
        <v>10694.1621621622</v>
      </c>
      <c r="L21" s="9" t="n">
        <f aca="false">(F21+H21)/B21</f>
        <v>308.783783783784</v>
      </c>
      <c r="M21" s="9" t="e">
        <f aca="false">#REF!/#REF!</f>
        <v>#REF!</v>
      </c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</row>
    <row r="22" s="10" customFormat="true" ht="55.5" hidden="false" customHeight="true" outlineLevel="0" collapsed="false">
      <c r="A22" s="19" t="s">
        <v>33</v>
      </c>
      <c r="B22" s="8" t="n">
        <v>8.23</v>
      </c>
      <c r="C22" s="9" t="n">
        <f aca="false">+D22+E22+F22+G22+H22+I22+J22</f>
        <v>134602.4</v>
      </c>
      <c r="D22" s="9" t="n">
        <v>80916</v>
      </c>
      <c r="E22" s="9" t="n">
        <v>18884</v>
      </c>
      <c r="F22" s="9"/>
      <c r="G22" s="9" t="n">
        <v>19240.25</v>
      </c>
      <c r="H22" s="9"/>
      <c r="I22" s="9" t="n">
        <v>15042.15</v>
      </c>
      <c r="J22" s="9" t="n">
        <v>520</v>
      </c>
      <c r="K22" s="9" t="n">
        <f aca="false">(D22+E22+J22+G22+I22)/B22</f>
        <v>16355.0911300122</v>
      </c>
      <c r="L22" s="9" t="n">
        <f aca="false">(F22+H22)/B22</f>
        <v>0</v>
      </c>
      <c r="M22" s="9" t="e">
        <f aca="false">#REF!/#REF!</f>
        <v>#REF!</v>
      </c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="10" customFormat="true" ht="55.5" hidden="false" customHeight="true" outlineLevel="0" collapsed="false">
      <c r="A23" s="19" t="s">
        <v>34</v>
      </c>
      <c r="B23" s="8" t="n">
        <v>5.3</v>
      </c>
      <c r="C23" s="9" t="n">
        <f aca="false">+D23+E23+F23+G23+H23+I23+J23</f>
        <v>66027.26</v>
      </c>
      <c r="D23" s="9" t="n">
        <v>50760</v>
      </c>
      <c r="E23" s="9" t="n">
        <v>6225</v>
      </c>
      <c r="F23" s="9"/>
      <c r="G23" s="9" t="n">
        <v>3243.08</v>
      </c>
      <c r="H23" s="9" t="n">
        <v>5357</v>
      </c>
      <c r="I23" s="9" t="n">
        <v>442.18</v>
      </c>
      <c r="J23" s="9"/>
      <c r="K23" s="9" t="n">
        <f aca="false">(D23+E23+J23+G23+I23)/B23</f>
        <v>11447.2188679245</v>
      </c>
      <c r="L23" s="9" t="n">
        <f aca="false">(F23+H23)/B23</f>
        <v>1010.75471698113</v>
      </c>
      <c r="M23" s="9" t="e">
        <f aca="false">#REF!/#REF!</f>
        <v>#REF!</v>
      </c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="10" customFormat="true" ht="55.5" hidden="false" customHeight="true" outlineLevel="0" collapsed="false">
      <c r="A24" s="19" t="s">
        <v>35</v>
      </c>
      <c r="B24" s="8" t="n">
        <v>24.9</v>
      </c>
      <c r="C24" s="9" t="n">
        <f aca="false">+D24+E24+F24+G24+H24+I24+J24</f>
        <v>285647.65</v>
      </c>
      <c r="D24" s="9" t="n">
        <v>175610</v>
      </c>
      <c r="E24" s="9" t="n">
        <v>44300</v>
      </c>
      <c r="F24" s="20"/>
      <c r="G24" s="9" t="n">
        <v>26357.98</v>
      </c>
      <c r="H24" s="9" t="n">
        <v>6406</v>
      </c>
      <c r="I24" s="9" t="n">
        <v>32973.67</v>
      </c>
      <c r="J24" s="9"/>
      <c r="K24" s="9" t="n">
        <f aca="false">(D24+E24+J24+G24+I24)/B24</f>
        <v>11214.5240963855</v>
      </c>
      <c r="L24" s="9" t="n">
        <f aca="false">(F24+H24)/B24</f>
        <v>257.269076305221</v>
      </c>
      <c r="M24" s="9" t="e">
        <f aca="false">#REF!/#REF!</f>
        <v>#REF!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</row>
    <row r="25" s="10" customFormat="true" ht="55.5" hidden="false" customHeight="true" outlineLevel="0" collapsed="false">
      <c r="A25" s="19" t="s">
        <v>36</v>
      </c>
      <c r="B25" s="21" t="n">
        <v>10.85</v>
      </c>
      <c r="C25" s="9" t="n">
        <f aca="false">+D25+E25+F25+G25+H25+I25+J25</f>
        <v>192877.89</v>
      </c>
      <c r="D25" s="9" t="n">
        <v>98032</v>
      </c>
      <c r="E25" s="9" t="n">
        <v>37985</v>
      </c>
      <c r="F25" s="9"/>
      <c r="G25" s="9" t="n">
        <v>21275.31</v>
      </c>
      <c r="H25" s="9" t="n">
        <v>8780</v>
      </c>
      <c r="I25" s="9" t="n">
        <v>26805.58</v>
      </c>
      <c r="J25" s="9"/>
      <c r="K25" s="9" t="n">
        <f aca="false">(D25+E25+J25+G25+I25)/B25</f>
        <v>16967.5474654378</v>
      </c>
      <c r="L25" s="9" t="n">
        <f aca="false">(F25+H25)/B25</f>
        <v>809.216589861751</v>
      </c>
      <c r="M25" s="9" t="e">
        <f aca="false">#REF!/#REF!</f>
        <v>#REF!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</row>
    <row r="26" s="10" customFormat="true" ht="55.5" hidden="false" customHeight="true" outlineLevel="0" collapsed="false">
      <c r="A26" s="19" t="s">
        <v>37</v>
      </c>
      <c r="B26" s="21" t="n">
        <v>3.49</v>
      </c>
      <c r="C26" s="9" t="n">
        <f aca="false">+D26+E26+F26+G26+H26+I26+J26</f>
        <v>34906.83</v>
      </c>
      <c r="D26" s="9" t="n">
        <v>8728</v>
      </c>
      <c r="E26" s="9" t="n">
        <v>7530</v>
      </c>
      <c r="F26" s="9"/>
      <c r="G26" s="9" t="n">
        <v>7362.09</v>
      </c>
      <c r="H26" s="9" t="n">
        <v>3160</v>
      </c>
      <c r="I26" s="9" t="n">
        <v>8126.74</v>
      </c>
      <c r="J26" s="9"/>
      <c r="K26" s="9" t="n">
        <f aca="false">(D26+E26+J26+G26+I26)/B26</f>
        <v>9096.51289398281</v>
      </c>
      <c r="L26" s="9" t="n">
        <f aca="false">(F26+H26)/B26</f>
        <v>905.444126074499</v>
      </c>
      <c r="M26" s="9" t="e">
        <f aca="false">#REF!/#REF!</f>
        <v>#REF!</v>
      </c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</row>
    <row r="27" s="10" customFormat="true" ht="55.5" hidden="false" customHeight="true" outlineLevel="0" collapsed="false">
      <c r="A27" s="19" t="s">
        <v>38</v>
      </c>
      <c r="B27" s="21" t="n">
        <v>5.55</v>
      </c>
      <c r="C27" s="9" t="n">
        <f aca="false">+D27+E27+F27+G27+H27+I27+J27</f>
        <v>69273.63</v>
      </c>
      <c r="D27" s="9" t="n">
        <v>36665</v>
      </c>
      <c r="E27" s="9" t="n">
        <v>7290</v>
      </c>
      <c r="F27" s="9"/>
      <c r="G27" s="9" t="n">
        <v>12310.1</v>
      </c>
      <c r="H27" s="9" t="n">
        <v>2675</v>
      </c>
      <c r="I27" s="9" t="n">
        <v>10333.53</v>
      </c>
      <c r="J27" s="9"/>
      <c r="K27" s="9" t="n">
        <f aca="false">(D27+E27+J27+G27+I27)/B27</f>
        <v>11999.7531531532</v>
      </c>
      <c r="L27" s="9" t="n">
        <f aca="false">(F27+H27)/B27</f>
        <v>481.981981981982</v>
      </c>
      <c r="M27" s="9" t="e">
        <f aca="false">#REF!/#REF!</f>
        <v>#REF!</v>
      </c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</row>
    <row r="28" s="10" customFormat="true" ht="55.5" hidden="false" customHeight="true" outlineLevel="0" collapsed="false">
      <c r="A28" s="19" t="s">
        <v>39</v>
      </c>
      <c r="B28" s="21" t="n">
        <v>6.02</v>
      </c>
      <c r="C28" s="9" t="n">
        <f aca="false">+D28+E28+F28+G28+H28+I28+J28</f>
        <v>81778.07</v>
      </c>
      <c r="D28" s="9" t="n">
        <v>43967</v>
      </c>
      <c r="E28" s="9" t="n">
        <v>16325</v>
      </c>
      <c r="F28" s="9"/>
      <c r="G28" s="9" t="n">
        <v>7986.74</v>
      </c>
      <c r="H28" s="9" t="n">
        <v>2675</v>
      </c>
      <c r="I28" s="9" t="n">
        <v>10824.33</v>
      </c>
      <c r="J28" s="9"/>
      <c r="K28" s="9" t="n">
        <f aca="false">(D28+E28+J28+G28+I28)/B28</f>
        <v>13140.0448504983</v>
      </c>
      <c r="L28" s="9" t="n">
        <f aca="false">(F28+H28)/B28</f>
        <v>444.352159468439</v>
      </c>
      <c r="M28" s="9" t="e">
        <f aca="false">#REF!/#REF!</f>
        <v>#REF!</v>
      </c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</row>
    <row r="29" s="10" customFormat="true" ht="55.5" hidden="false" customHeight="true" outlineLevel="0" collapsed="false">
      <c r="A29" s="19" t="s">
        <v>40</v>
      </c>
      <c r="B29" s="8" t="n">
        <v>11.5</v>
      </c>
      <c r="C29" s="9" t="n">
        <f aca="false">+D29+E29+F29+G29+H29+I29+J29</f>
        <v>178108.77</v>
      </c>
      <c r="D29" s="9" t="n">
        <v>111471</v>
      </c>
      <c r="E29" s="9" t="n">
        <v>30250</v>
      </c>
      <c r="F29" s="9"/>
      <c r="G29" s="9" t="n">
        <v>13444.76</v>
      </c>
      <c r="H29" s="9" t="n">
        <v>3650</v>
      </c>
      <c r="I29" s="9" t="n">
        <v>19293.01</v>
      </c>
      <c r="J29" s="9"/>
      <c r="K29" s="9" t="n">
        <f aca="false">(D29+E29+J29+G29+I29)/B29</f>
        <v>15170.327826087</v>
      </c>
      <c r="L29" s="9" t="n">
        <f aca="false">(F29+H29)/B29</f>
        <v>317.391304347826</v>
      </c>
      <c r="M29" s="9" t="e">
        <f aca="false">#REF!/#REF!</f>
        <v>#REF!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</row>
    <row r="30" s="10" customFormat="true" ht="55.5" hidden="false" customHeight="true" outlineLevel="0" collapsed="false">
      <c r="A30" s="19" t="s">
        <v>41</v>
      </c>
      <c r="B30" s="8" t="n">
        <v>6.2</v>
      </c>
      <c r="C30" s="9" t="n">
        <f aca="false">+D30+E30+F30+G30+H30+I30+J30</f>
        <v>73360.7</v>
      </c>
      <c r="D30" s="26" t="n">
        <v>40143</v>
      </c>
      <c r="E30" s="9" t="n">
        <v>17200</v>
      </c>
      <c r="F30" s="9"/>
      <c r="G30" s="9"/>
      <c r="H30" s="9" t="n">
        <v>1000</v>
      </c>
      <c r="I30" s="9" t="n">
        <v>13747.7</v>
      </c>
      <c r="J30" s="9" t="n">
        <v>1270</v>
      </c>
      <c r="K30" s="9" t="n">
        <f aca="false">(D30+E30+J30+G30+I30)/B30</f>
        <v>11671.0806451613</v>
      </c>
      <c r="L30" s="9" t="n">
        <f aca="false">(F30+H30)/B30</f>
        <v>161.290322580645</v>
      </c>
      <c r="M30" s="9" t="e">
        <f aca="false">#REF!/#REF!</f>
        <v>#REF!</v>
      </c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</row>
    <row r="31" s="10" customFormat="true" ht="55.5" hidden="false" customHeight="true" outlineLevel="0" collapsed="false">
      <c r="A31" s="19" t="s">
        <v>42</v>
      </c>
      <c r="B31" s="8" t="n">
        <v>5.3</v>
      </c>
      <c r="C31" s="9" t="n">
        <f aca="false">+D31+E31+F31+G31+H31+I31+J31</f>
        <v>53390.22</v>
      </c>
      <c r="D31" s="9" t="n">
        <v>29850</v>
      </c>
      <c r="E31" s="9"/>
      <c r="F31" s="9"/>
      <c r="G31" s="9" t="n">
        <v>10200.08</v>
      </c>
      <c r="H31" s="9" t="n">
        <v>1020</v>
      </c>
      <c r="I31" s="9" t="n">
        <v>11710.14</v>
      </c>
      <c r="J31" s="9" t="n">
        <v>610</v>
      </c>
      <c r="K31" s="9" t="n">
        <f aca="false">(D31+E31+J31+G31+I31)/B31</f>
        <v>9881.17358490566</v>
      </c>
      <c r="L31" s="9" t="n">
        <f aca="false">(F31+H31)/B31</f>
        <v>192.452830188679</v>
      </c>
      <c r="M31" s="9" t="e">
        <f aca="false">#REF!/#REF!</f>
        <v>#REF!</v>
      </c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</row>
    <row r="32" s="10" customFormat="true" ht="55.5" hidden="false" customHeight="true" outlineLevel="0" collapsed="false">
      <c r="A32" s="19" t="s">
        <v>43</v>
      </c>
      <c r="B32" s="8" t="n">
        <v>14.5</v>
      </c>
      <c r="C32" s="9" t="n">
        <f aca="false">+D32+E32+F32+G32+H32+I32+J32</f>
        <v>313143.41</v>
      </c>
      <c r="D32" s="9" t="n">
        <v>228131</v>
      </c>
      <c r="E32" s="9" t="n">
        <v>50200</v>
      </c>
      <c r="F32" s="9"/>
      <c r="G32" s="9"/>
      <c r="H32" s="9" t="n">
        <v>3555</v>
      </c>
      <c r="I32" s="9" t="n">
        <v>31257.41</v>
      </c>
      <c r="J32" s="9"/>
      <c r="K32" s="9" t="n">
        <f aca="false">(D32+E32+J32+G32+I32)/B32</f>
        <v>21350.9248275862</v>
      </c>
      <c r="L32" s="9" t="n">
        <f aca="false">(F32+H32)/B32</f>
        <v>245.172413793103</v>
      </c>
      <c r="M32" s="9" t="e">
        <f aca="false">#REF!/#REF!</f>
        <v>#REF!</v>
      </c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2026-05-01T15:18:44Z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