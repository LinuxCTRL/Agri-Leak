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QNZ N°" sheetId="1" state="hidden" r:id="rId3"/>
    <sheet name="SUIVI JOUR, TONNAGE QNZ N° 21" sheetId="2" state="visible" r:id="rId4"/>
  </sheets>
  <definedNames>
    <definedName function="false" hidden="true" localSheetId="1" name="_xlnm._FilterDatabase" vbProcedure="false">'SUIVI JOUR, TONNAGE QNZ N° 21'!$A$4:$AC$253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<sst xmlns="http://schemas.openxmlformats.org/spreadsheetml/2006/main" count="1644" uniqueCount="198">
  <si>
    <t xml:space="preserve">QNZ N°</t>
  </si>
  <si>
    <r>
      <rPr>
        <u val="single"/>
        <sz val="14"/>
        <color rgb="FF0000FF"/>
        <rFont val="Bahnschrift Light"/>
        <family val="2"/>
        <charset val="1"/>
      </rPr>
      <t xml:space="preserve">SUIVI JOURNALIER DES TONNAGES </t>
    </r>
    <r>
      <rPr>
        <u val="single"/>
        <sz val="14"/>
        <color rgb="FFC00000"/>
        <rFont val="Bahnschrift Light"/>
        <family val="2"/>
        <charset val="1"/>
      </rPr>
      <t xml:space="preserve">QNZ N° 21 Du: 01-04-26 Au: 15/04/26</t>
    </r>
  </si>
  <si>
    <t xml:space="preserve">NBRE DE JOUR</t>
  </si>
  <si>
    <t xml:space="preserve">GROUPE</t>
  </si>
  <si>
    <t xml:space="preserve">CLUBS</t>
  </si>
  <si>
    <t xml:space="preserve">CODE</t>
  </si>
  <si>
    <t xml:space="preserve">FERME</t>
  </si>
  <si>
    <t xml:space="preserve">VARIETE</t>
  </si>
  <si>
    <t xml:space="preserve">TYPE</t>
  </si>
  <si>
    <t xml:space="preserve">SERRE N°</t>
  </si>
  <si>
    <t xml:space="preserve">SUP</t>
  </si>
  <si>
    <t xml:space="preserve">PLANT°</t>
  </si>
  <si>
    <t xml:space="preserve">DATE  PLT°.</t>
  </si>
  <si>
    <r>
      <rPr>
        <sz val="14"/>
        <color rgb="FFFFFF00"/>
        <rFont val="Bahnschrift SemiLight SemiConde"/>
        <family val="2"/>
        <charset val="1"/>
      </rPr>
      <t xml:space="preserve">GLOBAL </t>
    </r>
    <r>
      <rPr>
        <sz val="14"/>
        <color theme="8" tint="-0.5"/>
        <rFont val="Bahnschrift SemiLight SemiConde"/>
        <family val="2"/>
        <charset val="1"/>
      </rPr>
      <t xml:space="preserve">1</t>
    </r>
  </si>
  <si>
    <r>
      <rPr>
        <sz val="14"/>
        <color rgb="FFFFFF00"/>
        <rFont val="Bahnschrift SemiLight SemiConde"/>
        <family val="2"/>
        <charset val="1"/>
      </rPr>
      <t xml:space="preserve">Ha </t>
    </r>
    <r>
      <rPr>
        <sz val="14"/>
        <color theme="8" tint="-0.5"/>
        <rFont val="Bahnschrift SemiLight SemiConde"/>
        <family val="2"/>
        <charset val="1"/>
      </rPr>
      <t xml:space="preserve">1</t>
    </r>
  </si>
  <si>
    <t xml:space="preserve">Ha/JOURS</t>
  </si>
  <si>
    <t xml:space="preserve">2-OUALLA</t>
  </si>
  <si>
    <t xml:space="preserve">CHTOUKA</t>
  </si>
  <si>
    <t xml:space="preserve">ADOUZ</t>
  </si>
  <si>
    <t xml:space="preserve">DORMAPLUM</t>
  </si>
  <si>
    <t xml:space="preserve">CERISE ALLONGE</t>
  </si>
  <si>
    <t xml:space="preserve">2+4</t>
  </si>
  <si>
    <t xml:space="preserve">HIVER 2026</t>
  </si>
  <si>
    <t xml:space="preserve">WINDSOR</t>
  </si>
  <si>
    <t xml:space="preserve">1+3</t>
  </si>
  <si>
    <t xml:space="preserve">17-ATMANE</t>
  </si>
  <si>
    <t xml:space="preserve">AMIRA</t>
  </si>
  <si>
    <t xml:space="preserve">AGLOU</t>
  </si>
  <si>
    <t xml:space="preserve">3+4</t>
  </si>
  <si>
    <t xml:space="preserve">4-SAID</t>
  </si>
  <si>
    <t xml:space="preserve">ADRAR</t>
  </si>
  <si>
    <t xml:space="preserve">IFERYAN</t>
  </si>
  <si>
    <t xml:space="preserve">INTUITIVO</t>
  </si>
  <si>
    <t xml:space="preserve">CERISE RONDE</t>
  </si>
  <si>
    <t xml:space="preserve">ÉTÉ 2025</t>
  </si>
  <si>
    <t xml:space="preserve">PARISETTO</t>
  </si>
  <si>
    <t xml:space="preserve">6+7</t>
  </si>
  <si>
    <t xml:space="preserve">AGLOU 2</t>
  </si>
  <si>
    <t xml:space="preserve">NEMETON</t>
  </si>
  <si>
    <t xml:space="preserve">10+11</t>
  </si>
  <si>
    <t xml:space="preserve">ÉTÉ 2026</t>
  </si>
  <si>
    <t xml:space="preserve">8+9</t>
  </si>
  <si>
    <t xml:space="preserve">11-LAAROUSSI</t>
  </si>
  <si>
    <t xml:space="preserve">SOUSS</t>
  </si>
  <si>
    <t xml:space="preserve">AGOURAM</t>
  </si>
  <si>
    <t xml:space="preserve">1+2</t>
  </si>
  <si>
    <t xml:space="preserve">10-JERMONI</t>
  </si>
  <si>
    <t xml:space="preserve">AIT MIMOUN</t>
  </si>
  <si>
    <t xml:space="preserve">DURASOL</t>
  </si>
  <si>
    <t xml:space="preserve">TOMATE RONDE</t>
  </si>
  <si>
    <t xml:space="preserve">TOBRIVA</t>
  </si>
  <si>
    <t xml:space="preserve">1-TIBARI</t>
  </si>
  <si>
    <t xml:space="preserve">AL AMAL</t>
  </si>
  <si>
    <t xml:space="preserve">1+2+3+4</t>
  </si>
  <si>
    <t xml:space="preserve">ALHAMED</t>
  </si>
  <si>
    <t xml:space="preserve">INTUITIVO+</t>
  </si>
  <si>
    <t xml:space="preserve">14+15</t>
  </si>
  <si>
    <t xml:space="preserve">6-AZZEDDINE</t>
  </si>
  <si>
    <t xml:space="preserve">BIOGRA</t>
  </si>
  <si>
    <t xml:space="preserve">AMOUZ 1</t>
  </si>
  <si>
    <t xml:space="preserve">3-CHTOUKA</t>
  </si>
  <si>
    <t xml:space="preserve">BAKHIR</t>
  </si>
  <si>
    <t xml:space="preserve">4+5+6</t>
  </si>
  <si>
    <t xml:space="preserve">7+8</t>
  </si>
  <si>
    <t xml:space="preserve">PAOLA</t>
  </si>
  <si>
    <t xml:space="preserve">8-GR-BOUANAS</t>
  </si>
  <si>
    <t xml:space="preserve">SIDI BIBI</t>
  </si>
  <si>
    <t xml:space="preserve">BOUANAS 1</t>
  </si>
  <si>
    <t xml:space="preserve">HELARI</t>
  </si>
  <si>
    <t xml:space="preserve">CONCOMBRE</t>
  </si>
  <si>
    <t xml:space="preserve">13-SARA</t>
  </si>
  <si>
    <t xml:space="preserve">D.SARA</t>
  </si>
  <si>
    <t xml:space="preserve">6+7+8</t>
  </si>
  <si>
    <t xml:space="preserve">D.SARA 2</t>
  </si>
  <si>
    <t xml:space="preserve">PASCUA</t>
  </si>
  <si>
    <t xml:space="preserve">5+6+7+8</t>
  </si>
  <si>
    <t xml:space="preserve">3+4+5</t>
  </si>
  <si>
    <t xml:space="preserve">15-AUTRES</t>
  </si>
  <si>
    <t xml:space="preserve">SALAM</t>
  </si>
  <si>
    <t xml:space="preserve">DRAID</t>
  </si>
  <si>
    <t xml:space="preserve">PENDRAGON+</t>
  </si>
  <si>
    <t xml:space="preserve">2+3</t>
  </si>
  <si>
    <t xml:space="preserve">EL JAIRA</t>
  </si>
  <si>
    <t xml:space="preserve">12-ABDERHMAN</t>
  </si>
  <si>
    <t xml:space="preserve">MASSA</t>
  </si>
  <si>
    <t xml:space="preserve">GRANADA 2</t>
  </si>
  <si>
    <t xml:space="preserve">TAYSON</t>
  </si>
  <si>
    <t xml:space="preserve">POIVRON</t>
  </si>
  <si>
    <t xml:space="preserve">11+12</t>
  </si>
  <si>
    <t xml:space="preserve">5+6</t>
  </si>
  <si>
    <t xml:space="preserve">CURIOSO+</t>
  </si>
  <si>
    <t xml:space="preserve">8+12</t>
  </si>
  <si>
    <t xml:space="preserve">INCHADEN</t>
  </si>
  <si>
    <t xml:space="preserve">WINDSOR+</t>
  </si>
  <si>
    <t xml:space="preserve">NAKHIL</t>
  </si>
  <si>
    <t xml:space="preserve">SAHB</t>
  </si>
  <si>
    <t xml:space="preserve">1+4</t>
  </si>
  <si>
    <t xml:space="preserve">7-BRAHIM</t>
  </si>
  <si>
    <t xml:space="preserve">SAMORA</t>
  </si>
  <si>
    <t xml:space="preserve">9+10</t>
  </si>
  <si>
    <t xml:space="preserve">SAFORA</t>
  </si>
  <si>
    <t xml:space="preserve">15+16</t>
  </si>
  <si>
    <t xml:space="preserve">16-LYOUNSSI</t>
  </si>
  <si>
    <t xml:space="preserve">AUTRE</t>
  </si>
  <si>
    <t xml:space="preserve">TAFLOUNT</t>
  </si>
  <si>
    <t xml:space="preserve">Plan champ</t>
  </si>
  <si>
    <t xml:space="preserve">9-GR-TAKAD</t>
  </si>
  <si>
    <t xml:space="preserve">TAKAD 1</t>
  </si>
  <si>
    <t xml:space="preserve">7+8+9</t>
  </si>
  <si>
    <t xml:space="preserve">AVRION</t>
  </si>
  <si>
    <t xml:space="preserve">TASSAOUT</t>
  </si>
  <si>
    <t xml:space="preserve">11+12+14</t>
  </si>
  <si>
    <t xml:space="preserve">CURIOSO</t>
  </si>
  <si>
    <t xml:space="preserve">TIFNIT</t>
  </si>
  <si>
    <t xml:space="preserve">VIRALINA</t>
  </si>
  <si>
    <t xml:space="preserve">SOLANGE</t>
  </si>
  <si>
    <t xml:space="preserve">DELYCA+</t>
  </si>
  <si>
    <t xml:space="preserve">6+5</t>
  </si>
  <si>
    <t xml:space="preserve">TIN MANSOR</t>
  </si>
  <si>
    <t xml:space="preserve">TOUGRIH</t>
  </si>
  <si>
    <t xml:space="preserve">1+2+3</t>
  </si>
  <si>
    <t xml:space="preserve">TOUJANA</t>
  </si>
  <si>
    <t xml:space="preserve">13+14</t>
  </si>
  <si>
    <t xml:space="preserve">12+15</t>
  </si>
  <si>
    <t xml:space="preserve">GRANADA 1</t>
  </si>
  <si>
    <t xml:space="preserve">ALKHIR</t>
  </si>
  <si>
    <t xml:space="preserve">ASSAFA</t>
  </si>
  <si>
    <t xml:space="preserve">ZOHOUR</t>
  </si>
  <si>
    <t xml:space="preserve">NIGOBRID</t>
  </si>
  <si>
    <t xml:space="preserve">4+5</t>
  </si>
  <si>
    <t xml:space="preserve">12+14+15</t>
  </si>
  <si>
    <t xml:space="preserve">DORMAPLUM+</t>
  </si>
  <si>
    <t xml:space="preserve">5-DRISS</t>
  </si>
  <si>
    <t xml:space="preserve">TINZAR</t>
  </si>
  <si>
    <t xml:space="preserve">7+10</t>
  </si>
  <si>
    <t xml:space="preserve">20+21</t>
  </si>
  <si>
    <t xml:space="preserve">HORTI</t>
  </si>
  <si>
    <t xml:space="preserve">BASTION</t>
  </si>
  <si>
    <t xml:space="preserve">CEDROS</t>
  </si>
  <si>
    <t xml:space="preserve">16+17</t>
  </si>
  <si>
    <t xml:space="preserve">AYRAD</t>
  </si>
  <si>
    <t xml:space="preserve">AGRIMANE</t>
  </si>
  <si>
    <t xml:space="preserve">16+17+18+19</t>
  </si>
  <si>
    <t xml:space="preserve">BOUANAS 3</t>
  </si>
  <si>
    <t xml:space="preserve">TAKAD 2</t>
  </si>
  <si>
    <t xml:space="preserve">AZOVIAN</t>
  </si>
  <si>
    <t xml:space="preserve">ROLDAN</t>
  </si>
  <si>
    <t xml:space="preserve">AMOUZ 2</t>
  </si>
  <si>
    <t xml:space="preserve">GIUBILO</t>
  </si>
  <si>
    <t xml:space="preserve">TOUFLIHT</t>
  </si>
  <si>
    <t xml:space="preserve">6+7+8+9</t>
  </si>
  <si>
    <t xml:space="preserve">COLINA</t>
  </si>
  <si>
    <t xml:space="preserve">ALKASSABA</t>
  </si>
  <si>
    <t xml:space="preserve">PATRIOT</t>
  </si>
  <si>
    <t xml:space="preserve">AWRIR</t>
  </si>
  <si>
    <t xml:space="preserve">14-SABRI</t>
  </si>
  <si>
    <t xml:space="preserve">SABRI</t>
  </si>
  <si>
    <t xml:space="preserve">BOUANAS 2</t>
  </si>
  <si>
    <t xml:space="preserve">BOUANAS 4</t>
  </si>
  <si>
    <t xml:space="preserve">PRINCESSA</t>
  </si>
  <si>
    <t xml:space="preserve">1+2+5</t>
  </si>
  <si>
    <t xml:space="preserve">PYRAMIS</t>
  </si>
  <si>
    <t xml:space="preserve">6+7+9</t>
  </si>
  <si>
    <t xml:space="preserve">AL BARAKA</t>
  </si>
  <si>
    <t xml:space="preserve">YATRIB</t>
  </si>
  <si>
    <t xml:space="preserve">12+13+14</t>
  </si>
  <si>
    <t xml:space="preserve">KINKANSTAR</t>
  </si>
  <si>
    <t xml:space="preserve">CHOCOSTAR</t>
  </si>
  <si>
    <t xml:space="preserve">LOGOS</t>
  </si>
  <si>
    <t xml:space="preserve">COURGETTE</t>
  </si>
  <si>
    <t xml:space="preserve">3+8</t>
  </si>
  <si>
    <t xml:space="preserve">DELYCA</t>
  </si>
  <si>
    <t xml:space="preserve">9+12</t>
  </si>
  <si>
    <t xml:space="preserve">PAOLO</t>
  </si>
  <si>
    <t xml:space="preserve">11+14</t>
  </si>
  <si>
    <t xml:space="preserve">9+11</t>
  </si>
  <si>
    <t xml:space="preserve">23+24</t>
  </si>
  <si>
    <t xml:space="preserve">6+18</t>
  </si>
  <si>
    <t xml:space="preserve">TIN ADDI</t>
  </si>
  <si>
    <t xml:space="preserve">3+4+5+6</t>
  </si>
  <si>
    <t xml:space="preserve">15+16+17</t>
  </si>
  <si>
    <t xml:space="preserve">PENDRAGON</t>
  </si>
  <si>
    <t xml:space="preserve">18+19</t>
  </si>
  <si>
    <t xml:space="preserve">HILARII</t>
  </si>
  <si>
    <t xml:space="preserve">ALBARAKA</t>
  </si>
  <si>
    <t xml:space="preserve">WAFIRA</t>
  </si>
  <si>
    <t xml:space="preserve">SAIKO SATR</t>
  </si>
  <si>
    <t xml:space="preserve">8+11</t>
  </si>
  <si>
    <t xml:space="preserve">MORRION</t>
  </si>
  <si>
    <t xml:space="preserve">2+5</t>
  </si>
  <si>
    <t xml:space="preserve">PARAISO</t>
  </si>
  <si>
    <t xml:space="preserve">13+15</t>
  </si>
  <si>
    <t xml:space="preserve">RUSH</t>
  </si>
  <si>
    <t xml:space="preserve">DURSAOL</t>
  </si>
  <si>
    <t xml:space="preserve">AMOUZ 3</t>
  </si>
  <si>
    <t xml:space="preserve">5+6+7</t>
  </si>
  <si>
    <t xml:space="preserve">SOUALEM</t>
  </si>
  <si>
    <t xml:space="preserve">TOTAL RECOLTE /JOUR 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</si>
</sst>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;@"/>
    <numFmt numFmtId="166" formatCode="0.00"/>
    <numFmt numFmtId="167" formatCode="#,##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u val="single"/>
      <sz val="14"/>
      <color rgb="FF0000FF"/>
      <name val="Bahnschrift Light"/>
      <family val="2"/>
      <charset val="1"/>
    </font>
    <font>
      <u val="single"/>
      <sz val="14"/>
      <color rgb="FFC00000"/>
      <name val="Bahnschrift Light"/>
      <family val="2"/>
      <charset val="1"/>
    </font>
    <font>
      <u val="single"/>
      <sz val="16"/>
      <color rgb="FF0000FF"/>
      <name val="Bahnschrift Light"/>
      <family val="2"/>
      <charset val="1"/>
    </font>
    <font>
      <u val="single"/>
      <sz val="12"/>
      <color rgb="FF0000FF"/>
      <name val="Calibri"/>
      <family val="2"/>
      <charset val="1"/>
    </font>
    <font>
      <sz val="10"/>
      <color theme="1"/>
      <name val="Bahnschrift Light"/>
      <family val="2"/>
      <charset val="1"/>
    </font>
    <font>
      <b val="true"/>
      <sz val="22"/>
      <color rgb="FFFFFF00"/>
      <name val="Calibri"/>
      <family val="2"/>
      <charset val="1"/>
    </font>
    <font>
      <sz val="20"/>
      <color rgb="FF00B050"/>
      <name val="Calibri"/>
      <family val="2"/>
      <charset val="1"/>
    </font>
    <font>
      <sz val="16"/>
      <color theme="0"/>
      <name val="Times New Roman"/>
      <family val="1"/>
      <charset val="1"/>
    </font>
    <font>
      <sz val="14"/>
      <color theme="0"/>
      <name val="Times New Roman"/>
      <family val="1"/>
      <charset val="1"/>
    </font>
    <font>
      <sz val="12"/>
      <color theme="0"/>
      <name val="Times New Roman"/>
      <family val="1"/>
      <charset val="1"/>
    </font>
    <font>
      <b val="true"/>
      <sz val="11"/>
      <color theme="0"/>
      <name val="Times New Roman"/>
      <family val="1"/>
      <charset val="1"/>
    </font>
    <font>
      <b val="true"/>
      <sz val="14"/>
      <color theme="0"/>
      <name val="Sylfaen"/>
      <family val="1"/>
      <charset val="1"/>
    </font>
    <font>
      <sz val="14"/>
      <color rgb="FFFFFF00"/>
      <name val="Bahnschrift SemiLight SemiConde"/>
      <family val="2"/>
      <charset val="1"/>
    </font>
    <font>
      <sz val="14"/>
      <color theme="8" tint="-0.5"/>
      <name val="Bahnschrift SemiLight SemiConde"/>
      <family val="2"/>
      <charset val="1"/>
    </font>
    <font>
      <b val="true"/>
      <sz val="14"/>
      <color theme="0" tint="-0.05"/>
      <name val="Consolas"/>
      <family val="3"/>
      <charset val="1"/>
    </font>
    <font>
      <b val="true"/>
      <sz val="14"/>
      <color theme="2"/>
      <name val="Consolas"/>
      <family val="3"/>
      <charset val="1"/>
    </font>
    <font>
      <b val="true"/>
      <sz val="10"/>
      <color theme="0"/>
      <name val="Bahnschrift Light"/>
      <family val="2"/>
      <charset val="1"/>
    </font>
    <font>
      <sz val="10"/>
      <color theme="0"/>
      <name val="Bahnschrift Light"/>
      <family val="2"/>
      <charset val="1"/>
    </font>
    <font>
      <sz val="8"/>
      <color theme="0"/>
      <name val="Bahnschrift Light"/>
      <family val="2"/>
      <charset val="1"/>
    </font>
    <font>
      <sz val="12"/>
      <color theme="0"/>
      <name val="Bahnschrift Light"/>
      <family val="2"/>
      <charset val="1"/>
    </font>
    <font>
      <sz val="14"/>
      <color theme="0"/>
      <name val="Bahnschrift Light"/>
      <family val="2"/>
      <charset val="1"/>
    </font>
    <font>
      <sz val="11"/>
      <color theme="2"/>
      <name val="Bahnschrift Light"/>
      <family val="2"/>
      <charset val="1"/>
    </font>
    <font>
      <sz val="11"/>
      <color theme="0"/>
      <name val="Bahnschrift Light"/>
      <family val="2"/>
      <charset val="1"/>
    </font>
    <font>
      <sz val="14"/>
      <color rgb="FF0000FF"/>
      <name val="Bahnschrift Light"/>
      <family val="2"/>
      <charset val="1"/>
    </font>
    <font>
      <sz val="14"/>
      <color rgb="FFC00000"/>
      <name val="MS Sans Serif"/>
      <family val="0"/>
      <charset val="1"/>
    </font>
    <font>
      <sz val="14"/>
      <color rgb="FF0000FF"/>
      <name val="MS Sans Serif"/>
      <family val="0"/>
      <charset val="1"/>
    </font>
    <font>
      <sz val="14"/>
      <color theme="9" tint="-0.5"/>
      <name val="MS Sans Serif"/>
      <family val="0"/>
      <charset val="1"/>
    </font>
    <font>
      <b val="true"/>
      <sz val="14"/>
      <color theme="1"/>
      <name val="Consolas"/>
      <family val="3"/>
      <charset val="1"/>
    </font>
    <font>
      <sz val="11"/>
      <color rgb="FFFFC000"/>
      <name val="Bahnschrift Light"/>
      <family val="2"/>
      <charset val="1"/>
    </font>
    <font>
      <b val="true"/>
      <sz val="14"/>
      <color theme="0"/>
      <name val="Consolas"/>
      <family val="3"/>
      <charset val="1"/>
    </font>
    <font>
      <sz val="11"/>
      <color theme="2" tint="-0.1"/>
      <name val="Bahnschrift Light"/>
      <family val="2"/>
      <charset val="1"/>
    </font>
    <font>
      <u val="single"/>
      <sz val="10"/>
      <color rgb="FFFF0000"/>
      <name val="Bahnschrift Light"/>
      <family val="2"/>
      <charset val="1"/>
    </font>
    <font>
      <sz val="12"/>
      <color rgb="FFFF00FF"/>
      <name val="Bahnschrift Light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FFC000"/>
        <bgColor rgb="FFF4B183"/>
      </patternFill>
    </fill>
    <fill>
      <patternFill patternType="solid">
        <fgColor theme="1"/>
        <bgColor rgb="FF0D0D0D"/>
      </patternFill>
    </fill>
    <fill>
      <patternFill patternType="solid">
        <fgColor rgb="FF0000FF"/>
        <bgColor rgb="FF0000FF"/>
      </patternFill>
    </fill>
    <fill>
      <patternFill patternType="solid">
        <fgColor rgb="FF002060"/>
        <bgColor rgb="FF203864"/>
      </patternFill>
    </fill>
    <fill>
      <patternFill patternType="solid">
        <fgColor rgb="FF660033"/>
        <bgColor rgb="FF800000"/>
      </patternFill>
    </fill>
    <fill>
      <patternFill patternType="solid">
        <fgColor theme="9" tint="-0.5"/>
        <bgColor rgb="FF404040"/>
      </patternFill>
    </fill>
    <fill>
      <patternFill patternType="solid">
        <fgColor theme="5" tint="-0.25"/>
        <bgColor rgb="FFBF9000"/>
      </patternFill>
    </fill>
    <fill>
      <patternFill patternType="solid">
        <fgColor theme="9" tint="0.7999"/>
        <bgColor rgb="FFE7E6E6"/>
      </patternFill>
    </fill>
    <fill>
      <patternFill patternType="solid">
        <fgColor rgb="FFFFCCFF"/>
        <bgColor rgb="FFE7E6E6"/>
      </patternFill>
    </fill>
    <fill>
      <patternFill patternType="solid">
        <fgColor rgb="FFA50021"/>
        <bgColor rgb="FFC00000"/>
      </patternFill>
    </fill>
    <fill>
      <patternFill patternType="solid">
        <fgColor rgb="FF00B0F0"/>
        <bgColor rgb="FF33CCCC"/>
      </patternFill>
    </fill>
    <fill>
      <patternFill patternType="solid">
        <fgColor theme="5" tint="0.3999"/>
        <bgColor rgb="FFBFBFBF"/>
      </patternFill>
    </fill>
    <fill>
      <patternFill patternType="solid">
        <fgColor rgb="FF009900"/>
        <bgColor rgb="FF00B050"/>
      </patternFill>
    </fill>
    <fill>
      <patternFill patternType="solid">
        <fgColor theme="4" tint="-0.2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800000"/>
        <bgColor rgb="FF660033"/>
      </patternFill>
    </fill>
    <fill>
      <patternFill patternType="solid">
        <fgColor theme="7" tint="-0.25"/>
        <bgColor rgb="FFC55A11"/>
      </patternFill>
    </fill>
    <fill>
      <patternFill patternType="solid">
        <fgColor rgb="FFFF00FF"/>
        <bgColor rgb="FFFF00FF"/>
      </patternFill>
    </fill>
    <fill>
      <patternFill patternType="solid">
        <fgColor theme="1" tint="0.2499"/>
        <bgColor rgb="FF3B3838"/>
      </patternFill>
    </fill>
    <fill>
      <patternFill patternType="solid">
        <fgColor theme="0" tint="-0.25"/>
        <bgColor rgb="FFD0CECE"/>
      </patternFill>
    </fill>
    <fill>
      <patternFill patternType="solid">
        <fgColor theme="2" tint="-0.75"/>
        <bgColor rgb="FF404040"/>
      </patternFill>
    </fill>
    <fill>
      <patternFill patternType="solid">
        <fgColor theme="1" tint="0.0499"/>
        <bgColor rgb="FF000000"/>
      </patternFill>
    </fill>
    <fill>
      <patternFill patternType="solid">
        <fgColor rgb="FF6600CC"/>
        <bgColor rgb="FF800080"/>
      </patternFill>
    </fill>
    <fill>
      <patternFill patternType="solid">
        <fgColor theme="3" tint="-0.25"/>
        <bgColor rgb="FF40404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hair">
        <color theme="0"/>
      </left>
      <right style="hair">
        <color theme="0"/>
      </right>
      <top/>
      <bottom style="hair">
        <color theme="0"/>
      </bottom>
      <diagonal/>
    </border>
    <border diagonalUp="false" diagonalDown="false">
      <left style="hair">
        <color theme="0"/>
      </left>
      <right style="hair">
        <color theme="0"/>
      </right>
      <top style="thin"/>
      <bottom style="hair">
        <color theme="0"/>
      </bottom>
      <diagonal/>
    </border>
    <border diagonalUp="false" diagonalDown="false">
      <left style="hair">
        <color theme="0"/>
      </left>
      <right/>
      <top/>
      <bottom style="hair">
        <color theme="0"/>
      </bottom>
      <diagonal/>
    </border>
    <border diagonalUp="false" diagonalDown="false">
      <left style="hair">
        <color theme="0"/>
      </left>
      <right style="hair">
        <color theme="0"/>
      </right>
      <top/>
      <bottom style="thin"/>
      <diagonal/>
    </border>
    <border diagonalUp="false" diagonalDown="false">
      <left style="hair">
        <color theme="0"/>
      </left>
      <right style="hair">
        <color theme="0"/>
      </right>
      <top style="hair">
        <color theme="0"/>
      </top>
      <bottom style="thin"/>
      <diagonal/>
    </border>
    <border diagonalUp="false" diagonalDown="false">
      <left/>
      <right style="thin"/>
      <top style="hair">
        <color theme="0"/>
      </top>
      <bottom style="thin"/>
      <diagonal/>
    </border>
    <border diagonalUp="false" diagonalDown="false">
      <left/>
      <right style="hair">
        <color theme="0"/>
      </right>
      <top style="hair">
        <color theme="0"/>
      </top>
      <bottom style="hair">
        <color theme="0"/>
      </bottom>
      <diagonal/>
    </border>
    <border diagonalUp="false" diagonalDown="false"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 diagonalUp="false" diagonalDown="false">
      <left style="hair">
        <color theme="0"/>
      </left>
      <right style="thin"/>
      <top style="hair">
        <color theme="0"/>
      </top>
      <bottom style="hair">
        <color theme="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>
        <color theme="0"/>
      </left>
      <right style="hair">
        <color theme="0"/>
      </right>
      <top style="hair">
        <color theme="0"/>
      </top>
      <bottom/>
      <diagonal/>
    </border>
    <border diagonalUp="false" diagonalDown="false">
      <left style="hair">
        <color theme="0"/>
      </left>
      <right style="thin"/>
      <top style="hair">
        <color theme="0"/>
      </top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hair">
        <color theme="0"/>
      </bottom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hair">
        <color theme="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8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7" fillId="6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6" borderId="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6" borderId="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4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6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1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2" fillId="11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4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7" fillId="2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7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4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4" fillId="6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7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4" fillId="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9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36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8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1"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2060"/>
          <bgColor rgb="FF000000"/>
        </patternFill>
      </fill>
    </dxf>
    <dxf>
      <fill>
        <patternFill patternType="solid">
          <fgColor rgb="FF2E75B6"/>
          <bgColor rgb="FF000000"/>
        </patternFill>
      </fill>
    </dxf>
    <dxf>
      <fill>
        <patternFill patternType="solid">
          <fgColor rgb="FF333F50"/>
          <bgColor rgb="FF000000"/>
        </patternFill>
      </fill>
    </dxf>
    <dxf>
      <fill>
        <patternFill patternType="solid">
          <fgColor rgb="FF3B3838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6600CC"/>
          <bgColor rgb="FF000000"/>
        </patternFill>
      </fill>
    </dxf>
    <dxf>
      <fill>
        <patternFill patternType="solid">
          <fgColor rgb="FF800000"/>
          <bgColor rgb="FF000000"/>
        </patternFill>
      </fill>
    </dxf>
    <dxf>
      <fill>
        <patternFill patternType="solid">
          <fgColor rgb="FFA50021"/>
          <bgColor rgb="FF000000"/>
        </patternFill>
      </fill>
    </dxf>
    <dxf>
      <fill>
        <patternFill patternType="solid">
          <fgColor rgb="FFBF9000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4B183"/>
          <bgColor rgb="FF000000"/>
        </patternFill>
      </fill>
    </dxf>
    <dxf>
      <fill>
        <patternFill patternType="solid">
          <fgColor rgb="FFFF00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00990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660033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85724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CC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9900"/>
      <rgbColor rgb="FF000080"/>
      <rgbColor rgb="FF385724"/>
      <rgbColor rgb="FF6600CC"/>
      <rgbColor rgb="FF008080"/>
      <rgbColor rgb="FFBFBFBF"/>
      <rgbColor rgb="FF808080"/>
      <rgbColor rgb="FF9999FF"/>
      <rgbColor rgb="FF993366"/>
      <rgbColor rgb="FFF2F2F2"/>
      <rgbColor rgb="FFE7E6E6"/>
      <rgbColor rgb="FF660033"/>
      <rgbColor rgb="FFFF8080"/>
      <rgbColor rgb="FF0066CC"/>
      <rgbColor rgb="FFD0CECE"/>
      <rgbColor rgb="FF000080"/>
      <rgbColor rgb="FFFF00FF"/>
      <rgbColor rgb="FFFFFF00"/>
      <rgbColor rgb="FF00FFFF"/>
      <rgbColor rgb="FF800080"/>
      <rgbColor rgb="FFA50021"/>
      <rgbColor rgb="FF008080"/>
      <rgbColor rgb="FF0000FF"/>
      <rgbColor rgb="FF00B0F0"/>
      <rgbColor rgb="FFCCFFFF"/>
      <rgbColor rgb="FFE2F0D9"/>
      <rgbColor rgb="FFFFFF99"/>
      <rgbColor rgb="FF99CCFF"/>
      <rgbColor rgb="FFFFCCFF"/>
      <rgbColor rgb="FFCC99FF"/>
      <rgbColor rgb="FFF4B183"/>
      <rgbColor rgb="FF2E75B6"/>
      <rgbColor rgb="FF33CCCC"/>
      <rgbColor rgb="FF99CC00"/>
      <rgbColor rgb="FFFFC000"/>
      <rgbColor rgb="FFBF9000"/>
      <rgbColor rgb="FFC55A11"/>
      <rgbColor rgb="FF333F50"/>
      <rgbColor rgb="FF969696"/>
      <rgbColor rgb="FF002060"/>
      <rgbColor rgb="FF00B050"/>
      <rgbColor rgb="FF0D0D0D"/>
      <rgbColor rgb="FF404040"/>
      <rgbColor rgb="FFC00000"/>
      <rgbColor rgb="FF993366"/>
      <rgbColor rgb="FF203864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0D0D"/>
    <pageSetUpPr fitToPage="false"/>
  </sheetPr>
  <dimension ref="B2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42578125" defaultRowHeight="15" customHeight="false" zeroHeight="false" outlineLevelRow="0" outlineLevelCol="0"/>
  <sheetData>
    <row r="2" customFormat="false" ht="15" hidden="false" customHeight="false" outlineLevel="0" collapsed="false">
      <c r="B2" s="1" t="s">
        <v>0</v>
      </c>
      <c r="C2" s="2" t="n">
        <v>21</v>
      </c>
    </row>
    <row r="3" customFormat="false" ht="15" hidden="false" customHeight="false" outlineLevel="0" collapsed="false">
      <c r="B3" s="1"/>
      <c r="C3" s="2"/>
    </row>
    <row r="4" customFormat="false" ht="15" hidden="false" customHeight="false" outlineLevel="0" collapsed="false">
      <c r="B4" s="1"/>
      <c r="C4" s="2"/>
    </row>
  </sheetData>
  <mergeCells count="2">
    <mergeCell ref="B2:B4"/>
    <mergeCell ref="C2:C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FF0000"/>
    <pageSetUpPr fitToPage="false"/>
  </sheetPr>
  <dimension ref="A1:AD26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0" ySplit="4" topLeftCell="K49" activePane="bottomRight" state="frozen"/>
      <selection pane="topLeft" activeCell="A1" activeCellId="0" sqref="A1"/>
      <selection pane="topRight" activeCell="K1" activeCellId="0" sqref="K1"/>
      <selection pane="bottomLeft" activeCell="A49" activeCellId="0" sqref="A49"/>
      <selection pane="bottomRight" activeCell="J1" activeCellId="0" sqref="J1"/>
    </sheetView>
  </sheetViews>
  <sheetFormatPr defaultColWidth="14.71484375" defaultRowHeight="15.75" customHeight="false" zeroHeight="false" outlineLevelRow="0" outlineLevelCol="0"/>
  <cols>
    <col collapsed="false" customWidth="true" hidden="true" outlineLevel="0" max="1" min="1" style="3" width="27.57"/>
    <col collapsed="false" customWidth="true" hidden="false" outlineLevel="0" max="2" min="2" style="3" width="20.71"/>
    <col collapsed="false" customWidth="true" hidden="true" outlineLevel="0" max="3" min="3" style="3" width="19.57"/>
    <col collapsed="false" customWidth="true" hidden="false" outlineLevel="0" max="4" min="4" style="0" width="17"/>
    <col collapsed="false" customWidth="true" hidden="false" outlineLevel="0" max="5" min="5" style="0" width="17.29"/>
    <col collapsed="false" customWidth="true" hidden="false" outlineLevel="0" max="7" min="7" style="4" width="17"/>
    <col collapsed="false" customWidth="true" hidden="false" outlineLevel="0" max="8" min="8" style="0" width="12.57"/>
    <col collapsed="false" customWidth="true" hidden="false" outlineLevel="0" max="9" min="9" style="0" width="16"/>
    <col collapsed="false" customWidth="true" hidden="false" outlineLevel="0" max="10" min="10" style="0" width="18.29"/>
    <col collapsed="false" customWidth="true" hidden="false" outlineLevel="0" max="12" min="11" style="0" width="10.85"/>
    <col collapsed="false" customWidth="true" hidden="false" outlineLevel="0" max="19" min="13" style="5" width="10.85"/>
    <col collapsed="false" customWidth="true" hidden="false" outlineLevel="0" max="25" min="20" style="5" width="12.42"/>
    <col collapsed="false" customWidth="true" hidden="false" outlineLevel="0" max="26" min="26" style="5" width="2.57"/>
    <col collapsed="false" customWidth="true" hidden="false" outlineLevel="0" max="27" min="27" style="0" width="16.71"/>
    <col collapsed="false" customWidth="true" hidden="false" outlineLevel="0" max="28" min="28" style="0" width="10.85"/>
    <col collapsed="false" customWidth="true" hidden="false" outlineLevel="0" max="29" min="29" style="0" width="17.29"/>
    <col collapsed="false" customWidth="false" hidden="false" outlineLevel="0" max="30" min="30" style="3" width="14.71"/>
  </cols>
  <sheetData>
    <row r="1" customFormat="false" ht="3.75" hidden="false" customHeight="true" outlineLevel="0" collapsed="false">
      <c r="D1" s="3"/>
      <c r="E1" s="3"/>
      <c r="F1" s="3"/>
      <c r="G1" s="6"/>
      <c r="H1" s="3"/>
      <c r="I1" s="3"/>
      <c r="J1" s="3"/>
      <c r="K1" s="3"/>
      <c r="L1" s="3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3"/>
      <c r="AB1" s="3"/>
      <c r="AC1" s="3"/>
    </row>
    <row r="2" customFormat="false" ht="27" hidden="false" customHeight="true" outlineLevel="0" collapsed="false">
      <c r="D2" s="8" t="s">
        <v>1</v>
      </c>
      <c r="E2" s="8"/>
      <c r="F2" s="8"/>
      <c r="G2" s="8"/>
      <c r="H2" s="8"/>
      <c r="I2" s="8"/>
      <c r="J2" s="8"/>
      <c r="K2" s="9"/>
      <c r="L2" s="9"/>
      <c r="M2" s="10"/>
      <c r="N2" s="10"/>
      <c r="O2" s="10"/>
      <c r="P2" s="10"/>
      <c r="Q2" s="10"/>
      <c r="R2" s="10"/>
      <c r="S2" s="10"/>
      <c r="T2" s="7"/>
      <c r="U2" s="7"/>
      <c r="V2" s="7"/>
      <c r="W2" s="7"/>
      <c r="X2" s="7"/>
      <c r="Y2" s="7"/>
      <c r="Z2" s="7"/>
      <c r="AA2" s="11" t="s">
        <v>2</v>
      </c>
      <c r="AB2" s="12" t="n">
        <v>15</v>
      </c>
      <c r="AC2" s="13"/>
    </row>
    <row r="3" customFormat="false" ht="3.75" hidden="false" customHeight="true" outlineLevel="0" collapsed="false">
      <c r="D3" s="3"/>
      <c r="E3" s="3"/>
      <c r="F3" s="3"/>
      <c r="G3" s="6"/>
      <c r="H3" s="3"/>
      <c r="I3" s="3" t="n">
        <v>12</v>
      </c>
      <c r="J3" s="3"/>
      <c r="K3" s="3"/>
      <c r="L3" s="3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3"/>
      <c r="AB3" s="3"/>
      <c r="AC3" s="3"/>
    </row>
    <row r="4" customFormat="false" ht="28.5" hidden="false" customHeight="true" outlineLevel="0" collapsed="false">
      <c r="A4" s="14" t="s">
        <v>3</v>
      </c>
      <c r="B4" s="14" t="s">
        <v>4</v>
      </c>
      <c r="C4" s="14" t="s">
        <v>5</v>
      </c>
      <c r="D4" s="14" t="s">
        <v>6</v>
      </c>
      <c r="E4" s="15" t="s">
        <v>7</v>
      </c>
      <c r="F4" s="16" t="s">
        <v>8</v>
      </c>
      <c r="G4" s="17" t="s">
        <v>9</v>
      </c>
      <c r="H4" s="16" t="s">
        <v>10</v>
      </c>
      <c r="I4" s="18" t="s">
        <v>11</v>
      </c>
      <c r="J4" s="19" t="s">
        <v>12</v>
      </c>
      <c r="K4" s="20" t="n">
        <v>46113</v>
      </c>
      <c r="L4" s="20" t="n">
        <v>46114</v>
      </c>
      <c r="M4" s="20" t="n">
        <v>46115</v>
      </c>
      <c r="N4" s="20" t="n">
        <v>46116</v>
      </c>
      <c r="O4" s="20" t="n">
        <v>46117</v>
      </c>
      <c r="P4" s="20" t="n">
        <v>46118</v>
      </c>
      <c r="Q4" s="20" t="n">
        <v>46119</v>
      </c>
      <c r="R4" s="20" t="n">
        <v>46120</v>
      </c>
      <c r="S4" s="20" t="n">
        <v>46121</v>
      </c>
      <c r="T4" s="20" t="n">
        <v>46122</v>
      </c>
      <c r="U4" s="20" t="n">
        <v>46123</v>
      </c>
      <c r="V4" s="20" t="n">
        <v>46124</v>
      </c>
      <c r="W4" s="20" t="n">
        <v>46125</v>
      </c>
      <c r="X4" s="20" t="n">
        <v>46126</v>
      </c>
      <c r="Y4" s="20" t="n">
        <v>46127</v>
      </c>
      <c r="Z4" s="20"/>
      <c r="AA4" s="21" t="s">
        <v>13</v>
      </c>
      <c r="AB4" s="21" t="s">
        <v>14</v>
      </c>
      <c r="AC4" s="22" t="s">
        <v>15</v>
      </c>
    </row>
    <row r="5" customFormat="false" ht="19.5" hidden="false" customHeight="true" outlineLevel="0" collapsed="false">
      <c r="A5" s="23" t="s">
        <v>16</v>
      </c>
      <c r="B5" s="24" t="s">
        <v>17</v>
      </c>
      <c r="C5" s="25" t="n">
        <v>701</v>
      </c>
      <c r="D5" s="26" t="s">
        <v>18</v>
      </c>
      <c r="E5" s="27" t="s">
        <v>19</v>
      </c>
      <c r="F5" s="28" t="s">
        <v>20</v>
      </c>
      <c r="G5" s="29" t="s">
        <v>21</v>
      </c>
      <c r="H5" s="30" t="n">
        <v>1.5</v>
      </c>
      <c r="I5" s="31" t="s">
        <v>22</v>
      </c>
      <c r="J5" s="32" t="n">
        <v>45866</v>
      </c>
      <c r="K5" s="33"/>
      <c r="L5" s="33"/>
      <c r="M5" s="33" t="n">
        <v>3448</v>
      </c>
      <c r="N5" s="33"/>
      <c r="O5" s="33"/>
      <c r="P5" s="33" t="n">
        <v>2968</v>
      </c>
      <c r="Q5" s="33"/>
      <c r="R5" s="33"/>
      <c r="S5" s="33"/>
      <c r="T5" s="33" t="n">
        <v>3314</v>
      </c>
      <c r="U5" s="33"/>
      <c r="V5" s="33"/>
      <c r="W5" s="33" t="n">
        <v>4023</v>
      </c>
      <c r="X5" s="33"/>
      <c r="Y5" s="33"/>
      <c r="Z5" s="33"/>
      <c r="AA5" s="34" t="n">
        <f aca="false">SUM(K5:Z5)</f>
        <v>13753</v>
      </c>
      <c r="AB5" s="35" t="n">
        <f aca="false">SUM(AA5/H5)</f>
        <v>9168.66666666667</v>
      </c>
      <c r="AC5" s="36" t="n">
        <f aca="false">AB5/$AB$2</f>
        <v>611.244444444444</v>
      </c>
    </row>
    <row r="6" customFormat="false" ht="19.5" hidden="false" customHeight="true" outlineLevel="0" collapsed="false">
      <c r="A6" s="23" t="s">
        <v>16</v>
      </c>
      <c r="B6" s="24" t="s">
        <v>17</v>
      </c>
      <c r="C6" s="25" t="n">
        <v>701</v>
      </c>
      <c r="D6" s="26" t="s">
        <v>18</v>
      </c>
      <c r="E6" s="27" t="s">
        <v>23</v>
      </c>
      <c r="F6" s="28" t="s">
        <v>20</v>
      </c>
      <c r="G6" s="29" t="s">
        <v>24</v>
      </c>
      <c r="H6" s="30" t="n">
        <v>1.5</v>
      </c>
      <c r="I6" s="31" t="s">
        <v>22</v>
      </c>
      <c r="J6" s="32" t="n">
        <v>45874</v>
      </c>
      <c r="K6" s="33"/>
      <c r="L6" s="33"/>
      <c r="M6" s="33"/>
      <c r="N6" s="33" t="n">
        <v>2088</v>
      </c>
      <c r="O6" s="33"/>
      <c r="P6" s="33"/>
      <c r="Q6" s="33" t="n">
        <v>1519</v>
      </c>
      <c r="R6" s="33"/>
      <c r="S6" s="33"/>
      <c r="T6" s="33"/>
      <c r="U6" s="33" t="n">
        <v>2724</v>
      </c>
      <c r="V6" s="33"/>
      <c r="W6" s="33"/>
      <c r="X6" s="33" t="n">
        <v>2598</v>
      </c>
      <c r="Y6" s="33"/>
      <c r="Z6" s="33"/>
      <c r="AA6" s="34" t="n">
        <f aca="false">SUM(K6:Z6)</f>
        <v>8929</v>
      </c>
      <c r="AB6" s="35" t="n">
        <f aca="false">SUM(AA6/H6)</f>
        <v>5952.66666666667</v>
      </c>
      <c r="AC6" s="36" t="n">
        <f aca="false">AB6/$AB$2</f>
        <v>396.844444444445</v>
      </c>
    </row>
    <row r="7" customFormat="false" ht="19.5" hidden="true" customHeight="true" outlineLevel="0" collapsed="false">
      <c r="A7" s="37" t="s">
        <v>25</v>
      </c>
      <c r="B7" s="38" t="s">
        <v>26</v>
      </c>
      <c r="C7" s="25" t="n">
        <v>503</v>
      </c>
      <c r="D7" s="26" t="s">
        <v>27</v>
      </c>
      <c r="E7" s="27" t="s">
        <v>23</v>
      </c>
      <c r="F7" s="28" t="s">
        <v>20</v>
      </c>
      <c r="G7" s="29" t="s">
        <v>28</v>
      </c>
      <c r="H7" s="30" t="n">
        <v>1.88</v>
      </c>
      <c r="I7" s="31" t="s">
        <v>22</v>
      </c>
      <c r="J7" s="32" t="n">
        <v>45945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4" t="n">
        <f aca="false">SUM(K7:Z7)</f>
        <v>0</v>
      </c>
      <c r="AB7" s="35" t="n">
        <f aca="false">SUM(AA7/H7)</f>
        <v>0</v>
      </c>
      <c r="AC7" s="36" t="n">
        <f aca="false">AB7/$AB$2</f>
        <v>0</v>
      </c>
    </row>
    <row r="8" customFormat="false" ht="19.5" hidden="false" customHeight="true" outlineLevel="0" collapsed="false">
      <c r="A8" s="39" t="s">
        <v>29</v>
      </c>
      <c r="B8" s="40" t="s">
        <v>30</v>
      </c>
      <c r="C8" s="25" t="n">
        <v>502</v>
      </c>
      <c r="D8" s="26" t="s">
        <v>31</v>
      </c>
      <c r="E8" s="27" t="s">
        <v>32</v>
      </c>
      <c r="F8" s="28" t="s">
        <v>33</v>
      </c>
      <c r="G8" s="29" t="n">
        <v>7</v>
      </c>
      <c r="H8" s="30" t="n">
        <v>1</v>
      </c>
      <c r="I8" s="41" t="s">
        <v>34</v>
      </c>
      <c r="J8" s="32" t="n">
        <v>45819</v>
      </c>
      <c r="K8" s="33"/>
      <c r="L8" s="33"/>
      <c r="M8" s="33"/>
      <c r="N8" s="33"/>
      <c r="O8" s="33"/>
      <c r="P8" s="33"/>
      <c r="Q8" s="33"/>
      <c r="R8" s="33" t="n">
        <v>2268</v>
      </c>
      <c r="S8" s="33"/>
      <c r="T8" s="33" t="n">
        <v>81</v>
      </c>
      <c r="U8" s="33"/>
      <c r="V8" s="33"/>
      <c r="W8" s="33"/>
      <c r="X8" s="33" t="n">
        <v>1745</v>
      </c>
      <c r="Y8" s="33"/>
      <c r="Z8" s="33"/>
      <c r="AA8" s="34" t="n">
        <f aca="false">SUM(K8:Z8)</f>
        <v>4094</v>
      </c>
      <c r="AB8" s="35" t="n">
        <f aca="false">SUM(AA8/H8)</f>
        <v>4094</v>
      </c>
      <c r="AC8" s="36" t="n">
        <f aca="false">AB8/$AB$2</f>
        <v>272.933333333333</v>
      </c>
    </row>
    <row r="9" customFormat="false" ht="19.5" hidden="false" customHeight="true" outlineLevel="0" collapsed="false">
      <c r="A9" s="37" t="s">
        <v>25</v>
      </c>
      <c r="B9" s="38" t="s">
        <v>26</v>
      </c>
      <c r="C9" s="25" t="n">
        <v>503</v>
      </c>
      <c r="D9" s="26" t="s">
        <v>27</v>
      </c>
      <c r="E9" s="27" t="s">
        <v>35</v>
      </c>
      <c r="F9" s="28" t="s">
        <v>20</v>
      </c>
      <c r="G9" s="29" t="s">
        <v>36</v>
      </c>
      <c r="H9" s="30" t="n">
        <v>1.65</v>
      </c>
      <c r="I9" s="31" t="s">
        <v>22</v>
      </c>
      <c r="J9" s="32" t="n">
        <v>45866</v>
      </c>
      <c r="K9" s="33" t="n">
        <v>813</v>
      </c>
      <c r="L9" s="33" t="n">
        <v>854</v>
      </c>
      <c r="M9" s="33" t="n">
        <v>666</v>
      </c>
      <c r="N9" s="33"/>
      <c r="O9" s="33" t="n">
        <v>438</v>
      </c>
      <c r="P9" s="33"/>
      <c r="Q9" s="33" t="n">
        <v>248</v>
      </c>
      <c r="R9" s="33"/>
      <c r="S9" s="33"/>
      <c r="T9" s="33" t="n">
        <v>70</v>
      </c>
      <c r="U9" s="33"/>
      <c r="V9" s="33"/>
      <c r="W9" s="33"/>
      <c r="X9" s="33"/>
      <c r="Y9" s="33"/>
      <c r="Z9" s="33"/>
      <c r="AA9" s="34" t="n">
        <f aca="false">SUM(K9:Z9)</f>
        <v>3089</v>
      </c>
      <c r="AB9" s="35" t="n">
        <f aca="false">SUM(AA9/H9)</f>
        <v>1872.12121212121</v>
      </c>
      <c r="AC9" s="36" t="n">
        <f aca="false">AB9/$AB$2</f>
        <v>124.808080808081</v>
      </c>
    </row>
    <row r="10" customFormat="false" ht="19.5" hidden="false" customHeight="true" outlineLevel="0" collapsed="false">
      <c r="A10" s="37" t="s">
        <v>25</v>
      </c>
      <c r="B10" s="38" t="s">
        <v>26</v>
      </c>
      <c r="C10" s="25" t="n">
        <v>503</v>
      </c>
      <c r="D10" s="26" t="s">
        <v>27</v>
      </c>
      <c r="E10" s="27" t="s">
        <v>23</v>
      </c>
      <c r="F10" s="28" t="s">
        <v>20</v>
      </c>
      <c r="G10" s="29" t="n">
        <v>5</v>
      </c>
      <c r="H10" s="30" t="n">
        <v>1</v>
      </c>
      <c r="I10" s="31" t="s">
        <v>22</v>
      </c>
      <c r="J10" s="32" t="n">
        <v>45872</v>
      </c>
      <c r="K10" s="33"/>
      <c r="L10" s="33"/>
      <c r="M10" s="33" t="n">
        <v>653</v>
      </c>
      <c r="N10" s="33" t="n">
        <v>1390</v>
      </c>
      <c r="O10" s="33"/>
      <c r="P10" s="33"/>
      <c r="Q10" s="33"/>
      <c r="R10" s="33" t="n">
        <v>1352</v>
      </c>
      <c r="S10" s="33" t="n">
        <v>576</v>
      </c>
      <c r="T10" s="33"/>
      <c r="U10" s="33"/>
      <c r="V10" s="33"/>
      <c r="W10" s="33" t="n">
        <v>1438</v>
      </c>
      <c r="X10" s="33"/>
      <c r="Y10" s="33"/>
      <c r="Z10" s="33"/>
      <c r="AA10" s="34" t="n">
        <f aca="false">SUM(K10:Z10)</f>
        <v>5409</v>
      </c>
      <c r="AB10" s="35" t="n">
        <f aca="false">SUM(AA10/H10)</f>
        <v>5409</v>
      </c>
      <c r="AC10" s="36" t="n">
        <f aca="false">AB10/$AB$2</f>
        <v>360.6</v>
      </c>
    </row>
    <row r="11" customFormat="false" ht="19.5" hidden="true" customHeight="true" outlineLevel="0" collapsed="false">
      <c r="A11" s="37" t="s">
        <v>25</v>
      </c>
      <c r="B11" s="38" t="s">
        <v>26</v>
      </c>
      <c r="C11" s="25" t="n">
        <v>504</v>
      </c>
      <c r="D11" s="26" t="s">
        <v>37</v>
      </c>
      <c r="E11" s="27" t="s">
        <v>38</v>
      </c>
      <c r="F11" s="28" t="s">
        <v>20</v>
      </c>
      <c r="G11" s="29" t="s">
        <v>39</v>
      </c>
      <c r="H11" s="30" t="n">
        <v>1.7</v>
      </c>
      <c r="I11" s="41" t="s">
        <v>40</v>
      </c>
      <c r="J11" s="32" t="n">
        <v>46065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4" t="n">
        <f aca="false">SUM(K11:Z11)</f>
        <v>0</v>
      </c>
      <c r="AB11" s="35" t="n">
        <f aca="false">SUM(AA11/H11)</f>
        <v>0</v>
      </c>
      <c r="AC11" s="36" t="n">
        <f aca="false">AB11/$AB$2</f>
        <v>0</v>
      </c>
    </row>
    <row r="12" customFormat="false" ht="19.5" hidden="false" customHeight="true" outlineLevel="0" collapsed="false">
      <c r="A12" s="37" t="s">
        <v>25</v>
      </c>
      <c r="B12" s="38" t="s">
        <v>26</v>
      </c>
      <c r="C12" s="25" t="n">
        <v>504</v>
      </c>
      <c r="D12" s="26" t="s">
        <v>37</v>
      </c>
      <c r="E12" s="27" t="s">
        <v>38</v>
      </c>
      <c r="F12" s="28" t="s">
        <v>20</v>
      </c>
      <c r="G12" s="29" t="s">
        <v>41</v>
      </c>
      <c r="H12" s="30" t="n">
        <v>2</v>
      </c>
      <c r="I12" s="41" t="s">
        <v>40</v>
      </c>
      <c r="J12" s="32" t="n">
        <v>46060</v>
      </c>
      <c r="K12" s="33"/>
      <c r="L12" s="33"/>
      <c r="M12" s="33"/>
      <c r="N12" s="33"/>
      <c r="O12" s="33"/>
      <c r="P12" s="33" t="n">
        <v>46</v>
      </c>
      <c r="Q12" s="33"/>
      <c r="R12" s="33"/>
      <c r="S12" s="33" t="n">
        <v>120</v>
      </c>
      <c r="T12" s="33"/>
      <c r="U12" s="33"/>
      <c r="V12" s="33"/>
      <c r="W12" s="33" t="n">
        <v>876</v>
      </c>
      <c r="X12" s="33"/>
      <c r="Y12" s="33"/>
      <c r="Z12" s="33"/>
      <c r="AA12" s="34" t="n">
        <f aca="false">SUM(K12:Z12)</f>
        <v>1042</v>
      </c>
      <c r="AB12" s="35" t="n">
        <f aca="false">SUM(AA12/H12)</f>
        <v>521</v>
      </c>
      <c r="AC12" s="36" t="n">
        <f aca="false">AB12/$AB$2</f>
        <v>34.7333333333333</v>
      </c>
    </row>
    <row r="13" customFormat="false" ht="19.5" hidden="true" customHeight="true" outlineLevel="0" collapsed="false">
      <c r="A13" s="24" t="s">
        <v>42</v>
      </c>
      <c r="B13" s="38" t="s">
        <v>43</v>
      </c>
      <c r="C13" s="25" t="n">
        <v>100</v>
      </c>
      <c r="D13" s="26" t="s">
        <v>44</v>
      </c>
      <c r="E13" s="27" t="s">
        <v>23</v>
      </c>
      <c r="F13" s="28" t="s">
        <v>20</v>
      </c>
      <c r="G13" s="29" t="n">
        <v>7</v>
      </c>
      <c r="H13" s="30" t="n">
        <v>1.3</v>
      </c>
      <c r="I13" s="41" t="s">
        <v>34</v>
      </c>
      <c r="J13" s="32" t="n">
        <v>45812</v>
      </c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4" t="n">
        <f aca="false">SUM(K13:Z13)</f>
        <v>0</v>
      </c>
      <c r="AB13" s="35" t="n">
        <f aca="false">SUM(AA13/H13)</f>
        <v>0</v>
      </c>
      <c r="AC13" s="36" t="n">
        <f aca="false">AB13/$AB$2</f>
        <v>0</v>
      </c>
    </row>
    <row r="14" customFormat="false" ht="19.5" hidden="false" customHeight="true" outlineLevel="0" collapsed="false">
      <c r="A14" s="24" t="s">
        <v>42</v>
      </c>
      <c r="B14" s="38" t="s">
        <v>43</v>
      </c>
      <c r="C14" s="25" t="n">
        <v>100</v>
      </c>
      <c r="D14" s="26" t="s">
        <v>44</v>
      </c>
      <c r="E14" s="27" t="s">
        <v>32</v>
      </c>
      <c r="F14" s="28" t="s">
        <v>33</v>
      </c>
      <c r="G14" s="29" t="s">
        <v>45</v>
      </c>
      <c r="H14" s="30" t="n">
        <v>2.6</v>
      </c>
      <c r="I14" s="31" t="s">
        <v>22</v>
      </c>
      <c r="J14" s="32" t="n">
        <v>45907</v>
      </c>
      <c r="K14" s="33"/>
      <c r="L14" s="33"/>
      <c r="M14" s="33" t="n">
        <v>3718</v>
      </c>
      <c r="N14" s="33" t="n">
        <v>460</v>
      </c>
      <c r="O14" s="33" t="n">
        <v>4030</v>
      </c>
      <c r="P14" s="33"/>
      <c r="Q14" s="33"/>
      <c r="R14" s="33"/>
      <c r="S14" s="33"/>
      <c r="T14" s="33"/>
      <c r="U14" s="33"/>
      <c r="V14" s="33" t="n">
        <v>6552</v>
      </c>
      <c r="W14" s="33" t="n">
        <v>2507</v>
      </c>
      <c r="X14" s="33"/>
      <c r="Y14" s="33"/>
      <c r="Z14" s="33"/>
      <c r="AA14" s="34" t="n">
        <f aca="false">SUM(K14:Z14)</f>
        <v>17267</v>
      </c>
      <c r="AB14" s="35" t="n">
        <f aca="false">SUM(AA14/H14)</f>
        <v>6641.15384615385</v>
      </c>
      <c r="AC14" s="36" t="n">
        <f aca="false">AB14/$AB$2</f>
        <v>442.74358974359</v>
      </c>
    </row>
    <row r="15" customFormat="false" ht="19.5" hidden="false" customHeight="true" outlineLevel="0" collapsed="false">
      <c r="A15" s="42" t="s">
        <v>46</v>
      </c>
      <c r="B15" s="40" t="s">
        <v>30</v>
      </c>
      <c r="C15" s="25" t="n">
        <v>303</v>
      </c>
      <c r="D15" s="26" t="s">
        <v>47</v>
      </c>
      <c r="E15" s="27" t="s">
        <v>48</v>
      </c>
      <c r="F15" s="28" t="s">
        <v>49</v>
      </c>
      <c r="G15" s="29" t="n">
        <v>7</v>
      </c>
      <c r="H15" s="30" t="n">
        <v>0.9</v>
      </c>
      <c r="I15" s="31" t="s">
        <v>22</v>
      </c>
      <c r="J15" s="32" t="n">
        <v>45981</v>
      </c>
      <c r="K15" s="33" t="n">
        <v>2558</v>
      </c>
      <c r="L15" s="33"/>
      <c r="M15" s="33"/>
      <c r="N15" s="33" t="n">
        <v>2725</v>
      </c>
      <c r="O15" s="33"/>
      <c r="P15" s="33"/>
      <c r="Q15" s="33"/>
      <c r="R15" s="33" t="n">
        <v>5129</v>
      </c>
      <c r="S15" s="33" t="n">
        <v>283</v>
      </c>
      <c r="T15" s="33"/>
      <c r="U15" s="33"/>
      <c r="V15" s="33" t="n">
        <v>6522</v>
      </c>
      <c r="W15" s="33"/>
      <c r="X15" s="33"/>
      <c r="Y15" s="33" t="n">
        <v>3407</v>
      </c>
      <c r="Z15" s="33"/>
      <c r="AA15" s="34" t="n">
        <f aca="false">SUM(K15:Z15)</f>
        <v>20624</v>
      </c>
      <c r="AB15" s="35" t="n">
        <f aca="false">SUM(AA15/H15)</f>
        <v>22915.5555555556</v>
      </c>
      <c r="AC15" s="36" t="n">
        <f aca="false">AB15/$AB$2</f>
        <v>1527.7037037037</v>
      </c>
    </row>
    <row r="16" customFormat="false" ht="19.5" hidden="true" customHeight="true" outlineLevel="0" collapsed="false">
      <c r="A16" s="42" t="s">
        <v>46</v>
      </c>
      <c r="B16" s="38" t="s">
        <v>30</v>
      </c>
      <c r="C16" s="25" t="n">
        <v>303</v>
      </c>
      <c r="D16" s="26" t="s">
        <v>47</v>
      </c>
      <c r="E16" s="27" t="s">
        <v>19</v>
      </c>
      <c r="F16" s="28" t="s">
        <v>20</v>
      </c>
      <c r="G16" s="29" t="n">
        <v>8</v>
      </c>
      <c r="H16" s="30" t="n">
        <v>1.1</v>
      </c>
      <c r="I16" s="41" t="s">
        <v>34</v>
      </c>
      <c r="J16" s="32" t="n">
        <v>45825</v>
      </c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4" t="n">
        <f aca="false">SUM(K16:Z16)</f>
        <v>0</v>
      </c>
      <c r="AB16" s="35" t="n">
        <f aca="false">SUM(AA16/H16)</f>
        <v>0</v>
      </c>
      <c r="AC16" s="36" t="n">
        <f aca="false">AB16/$AB$2</f>
        <v>0</v>
      </c>
    </row>
    <row r="17" customFormat="false" ht="19.5" hidden="false" customHeight="true" outlineLevel="0" collapsed="false">
      <c r="A17" s="42" t="s">
        <v>46</v>
      </c>
      <c r="B17" s="38" t="s">
        <v>30</v>
      </c>
      <c r="C17" s="25" t="n">
        <v>303</v>
      </c>
      <c r="D17" s="26" t="s">
        <v>47</v>
      </c>
      <c r="E17" s="27" t="s">
        <v>50</v>
      </c>
      <c r="F17" s="28" t="s">
        <v>49</v>
      </c>
      <c r="G17" s="29" t="n">
        <v>4</v>
      </c>
      <c r="H17" s="30" t="n">
        <v>0.8</v>
      </c>
      <c r="I17" s="31" t="s">
        <v>22</v>
      </c>
      <c r="J17" s="32" t="n">
        <v>45985</v>
      </c>
      <c r="K17" s="33" t="n">
        <v>3590</v>
      </c>
      <c r="L17" s="33"/>
      <c r="M17" s="33"/>
      <c r="N17" s="33" t="n">
        <v>2315</v>
      </c>
      <c r="O17" s="33"/>
      <c r="P17" s="33"/>
      <c r="Q17" s="33"/>
      <c r="R17" s="33"/>
      <c r="S17" s="33" t="n">
        <v>3385</v>
      </c>
      <c r="T17" s="33"/>
      <c r="U17" s="33"/>
      <c r="V17" s="33"/>
      <c r="W17" s="33" t="n">
        <v>4474</v>
      </c>
      <c r="X17" s="33"/>
      <c r="Y17" s="33"/>
      <c r="Z17" s="33"/>
      <c r="AA17" s="34" t="n">
        <f aca="false">SUM(K17:Z17)</f>
        <v>13764</v>
      </c>
      <c r="AB17" s="35" t="n">
        <f aca="false">SUM(AA17/H17)</f>
        <v>17205</v>
      </c>
      <c r="AC17" s="36" t="n">
        <f aca="false">AB17/$AB$2</f>
        <v>1147</v>
      </c>
    </row>
    <row r="18" customFormat="false" ht="19.5" hidden="false" customHeight="true" outlineLevel="0" collapsed="false">
      <c r="A18" s="43" t="s">
        <v>51</v>
      </c>
      <c r="B18" s="38" t="s">
        <v>26</v>
      </c>
      <c r="C18" s="25" t="n">
        <v>401</v>
      </c>
      <c r="D18" s="26" t="s">
        <v>52</v>
      </c>
      <c r="E18" s="27" t="s">
        <v>50</v>
      </c>
      <c r="F18" s="28" t="s">
        <v>49</v>
      </c>
      <c r="G18" s="29" t="n">
        <v>10</v>
      </c>
      <c r="H18" s="30" t="n">
        <v>1.1</v>
      </c>
      <c r="I18" s="31" t="s">
        <v>22</v>
      </c>
      <c r="J18" s="32" t="n">
        <v>45884</v>
      </c>
      <c r="K18" s="33"/>
      <c r="L18" s="33" t="n">
        <v>2970</v>
      </c>
      <c r="M18" s="33"/>
      <c r="N18" s="33"/>
      <c r="O18" s="33"/>
      <c r="P18" s="33" t="n">
        <v>2046</v>
      </c>
      <c r="Q18" s="33"/>
      <c r="R18" s="33"/>
      <c r="S18" s="33"/>
      <c r="T18" s="33" t="n">
        <v>2461</v>
      </c>
      <c r="U18" s="33" t="n">
        <v>1208</v>
      </c>
      <c r="V18" s="33"/>
      <c r="W18" s="33"/>
      <c r="X18" s="33"/>
      <c r="Y18" s="33"/>
      <c r="Z18" s="33"/>
      <c r="AA18" s="34" t="n">
        <f aca="false">SUM(K18:Z18)</f>
        <v>8685</v>
      </c>
      <c r="AB18" s="35" t="n">
        <f aca="false">SUM(AA18/H18)</f>
        <v>7895.45454545455</v>
      </c>
      <c r="AC18" s="36" t="n">
        <f aca="false">AB18/$AB$2</f>
        <v>526.363636363636</v>
      </c>
    </row>
    <row r="19" customFormat="false" ht="19.5" hidden="false" customHeight="true" outlineLevel="0" collapsed="false">
      <c r="A19" s="43" t="s">
        <v>51</v>
      </c>
      <c r="B19" s="38" t="s">
        <v>26</v>
      </c>
      <c r="C19" s="25" t="n">
        <v>401</v>
      </c>
      <c r="D19" s="26" t="s">
        <v>52</v>
      </c>
      <c r="E19" s="27" t="s">
        <v>32</v>
      </c>
      <c r="F19" s="28" t="s">
        <v>33</v>
      </c>
      <c r="G19" s="29" t="s">
        <v>53</v>
      </c>
      <c r="H19" s="30" t="n">
        <v>4</v>
      </c>
      <c r="I19" s="31" t="s">
        <v>22</v>
      </c>
      <c r="J19" s="32" t="n">
        <v>45862</v>
      </c>
      <c r="K19" s="33" t="n">
        <v>2014</v>
      </c>
      <c r="L19" s="33"/>
      <c r="M19" s="33"/>
      <c r="N19" s="33" t="n">
        <v>988</v>
      </c>
      <c r="O19" s="33" t="n">
        <v>2097</v>
      </c>
      <c r="P19" s="33" t="n">
        <v>1547</v>
      </c>
      <c r="Q19" s="33"/>
      <c r="R19" s="33" t="n">
        <v>546</v>
      </c>
      <c r="S19" s="33" t="n">
        <v>2532</v>
      </c>
      <c r="T19" s="33"/>
      <c r="U19" s="33" t="n">
        <v>1260</v>
      </c>
      <c r="V19" s="33" t="n">
        <v>1724</v>
      </c>
      <c r="W19" s="33"/>
      <c r="X19" s="33" t="n">
        <v>1236</v>
      </c>
      <c r="Y19" s="33" t="n">
        <v>1138</v>
      </c>
      <c r="Z19" s="33"/>
      <c r="AA19" s="34" t="n">
        <f aca="false">SUM(K19:Z19)</f>
        <v>15082</v>
      </c>
      <c r="AB19" s="35" t="n">
        <f aca="false">SUM(AA19/H19)</f>
        <v>3770.5</v>
      </c>
      <c r="AC19" s="36" t="n">
        <f aca="false">AB19/$AB$2</f>
        <v>251.366666666667</v>
      </c>
    </row>
    <row r="20" customFormat="false" ht="19.5" hidden="true" customHeight="true" outlineLevel="0" collapsed="false">
      <c r="A20" s="24" t="s">
        <v>42</v>
      </c>
      <c r="B20" s="38" t="s">
        <v>43</v>
      </c>
      <c r="C20" s="25" t="n">
        <v>101</v>
      </c>
      <c r="D20" s="26" t="s">
        <v>54</v>
      </c>
      <c r="E20" s="27" t="s">
        <v>55</v>
      </c>
      <c r="F20" s="28" t="s">
        <v>33</v>
      </c>
      <c r="G20" s="29" t="n">
        <v>12</v>
      </c>
      <c r="H20" s="30" t="n">
        <v>1.6</v>
      </c>
      <c r="I20" s="41" t="s">
        <v>34</v>
      </c>
      <c r="J20" s="32" t="n">
        <v>45790</v>
      </c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 t="n">
        <f aca="false">SUM(K20:Z20)</f>
        <v>0</v>
      </c>
      <c r="AB20" s="35" t="n">
        <f aca="false">SUM(AA20/H20)</f>
        <v>0</v>
      </c>
      <c r="AC20" s="36" t="n">
        <f aca="false">AB20/$AB$2</f>
        <v>0</v>
      </c>
    </row>
    <row r="21" customFormat="false" ht="19.5" hidden="true" customHeight="true" outlineLevel="0" collapsed="false">
      <c r="A21" s="24" t="s">
        <v>42</v>
      </c>
      <c r="B21" s="38" t="s">
        <v>43</v>
      </c>
      <c r="C21" s="25" t="n">
        <v>101</v>
      </c>
      <c r="D21" s="26" t="s">
        <v>54</v>
      </c>
      <c r="E21" s="27" t="s">
        <v>55</v>
      </c>
      <c r="F21" s="28" t="s">
        <v>33</v>
      </c>
      <c r="G21" s="29" t="n">
        <v>13</v>
      </c>
      <c r="H21" s="30" t="n">
        <v>1.6</v>
      </c>
      <c r="I21" s="41" t="s">
        <v>34</v>
      </c>
      <c r="J21" s="32" t="n">
        <v>45776</v>
      </c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4" t="n">
        <f aca="false">SUM(K21:Z21)</f>
        <v>0</v>
      </c>
      <c r="AB21" s="35" t="n">
        <f aca="false">SUM(AA21/H21)</f>
        <v>0</v>
      </c>
      <c r="AC21" s="36" t="n">
        <f aca="false">AB21/$AB$2</f>
        <v>0</v>
      </c>
    </row>
    <row r="22" customFormat="false" ht="19.5" hidden="true" customHeight="true" outlineLevel="0" collapsed="false">
      <c r="A22" s="24" t="s">
        <v>42</v>
      </c>
      <c r="B22" s="38" t="s">
        <v>43</v>
      </c>
      <c r="C22" s="25" t="n">
        <v>101</v>
      </c>
      <c r="D22" s="26" t="s">
        <v>54</v>
      </c>
      <c r="E22" s="27" t="s">
        <v>55</v>
      </c>
      <c r="F22" s="28" t="s">
        <v>33</v>
      </c>
      <c r="G22" s="29" t="s">
        <v>56</v>
      </c>
      <c r="H22" s="30" t="n">
        <v>2.5</v>
      </c>
      <c r="I22" s="41" t="s">
        <v>34</v>
      </c>
      <c r="J22" s="32" t="n">
        <v>45720</v>
      </c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4" t="n">
        <f aca="false">SUM(K22:Z22)</f>
        <v>0</v>
      </c>
      <c r="AB22" s="35" t="n">
        <f aca="false">SUM(AA22/H22)</f>
        <v>0</v>
      </c>
      <c r="AC22" s="36" t="n">
        <f aca="false">AB22/$AB$2</f>
        <v>0</v>
      </c>
    </row>
    <row r="23" customFormat="false" ht="19.5" hidden="false" customHeight="true" outlineLevel="0" collapsed="false">
      <c r="A23" s="44" t="s">
        <v>57</v>
      </c>
      <c r="B23" s="45" t="s">
        <v>58</v>
      </c>
      <c r="C23" s="25" t="n">
        <v>603</v>
      </c>
      <c r="D23" s="26" t="s">
        <v>59</v>
      </c>
      <c r="E23" s="27" t="s">
        <v>19</v>
      </c>
      <c r="F23" s="28" t="s">
        <v>20</v>
      </c>
      <c r="G23" s="29" t="s">
        <v>41</v>
      </c>
      <c r="H23" s="30" t="n">
        <v>2</v>
      </c>
      <c r="I23" s="31" t="s">
        <v>22</v>
      </c>
      <c r="J23" s="32" t="n">
        <v>45849</v>
      </c>
      <c r="K23" s="33" t="n">
        <v>2736</v>
      </c>
      <c r="L23" s="33" t="n">
        <v>605</v>
      </c>
      <c r="M23" s="33" t="n">
        <v>178</v>
      </c>
      <c r="N23" s="33" t="n">
        <v>1991</v>
      </c>
      <c r="O23" s="33" t="n">
        <v>534</v>
      </c>
      <c r="P23" s="33"/>
      <c r="Q23" s="33"/>
      <c r="R23" s="33" t="n">
        <v>1586</v>
      </c>
      <c r="S23" s="33" t="n">
        <v>948</v>
      </c>
      <c r="T23" s="33"/>
      <c r="U23" s="33" t="n">
        <v>1786</v>
      </c>
      <c r="V23" s="33" t="n">
        <v>610</v>
      </c>
      <c r="W23" s="33"/>
      <c r="X23" s="33"/>
      <c r="Y23" s="33" t="n">
        <v>1746</v>
      </c>
      <c r="Z23" s="33"/>
      <c r="AA23" s="34" t="n">
        <f aca="false">SUM(K23:Z23)</f>
        <v>12720</v>
      </c>
      <c r="AB23" s="35" t="n">
        <f aca="false">SUM(AA23/H23)</f>
        <v>6360</v>
      </c>
      <c r="AC23" s="36" t="n">
        <f aca="false">AB23/$AB$2</f>
        <v>424</v>
      </c>
    </row>
    <row r="24" customFormat="false" ht="19.5" hidden="false" customHeight="true" outlineLevel="0" collapsed="false">
      <c r="A24" s="46" t="s">
        <v>60</v>
      </c>
      <c r="B24" s="38" t="s">
        <v>17</v>
      </c>
      <c r="C24" s="25" t="n">
        <v>802</v>
      </c>
      <c r="D24" s="26" t="s">
        <v>61</v>
      </c>
      <c r="E24" s="27" t="s">
        <v>48</v>
      </c>
      <c r="F24" s="28" t="s">
        <v>49</v>
      </c>
      <c r="G24" s="29" t="s">
        <v>62</v>
      </c>
      <c r="H24" s="30" t="n">
        <v>3</v>
      </c>
      <c r="I24" s="31" t="s">
        <v>22</v>
      </c>
      <c r="J24" s="32" t="n">
        <v>45905</v>
      </c>
      <c r="K24" s="33"/>
      <c r="L24" s="33" t="n">
        <v>5565</v>
      </c>
      <c r="M24" s="33" t="n">
        <v>1496</v>
      </c>
      <c r="N24" s="33"/>
      <c r="O24" s="33"/>
      <c r="P24" s="33" t="n">
        <v>5226</v>
      </c>
      <c r="Q24" s="33" t="n">
        <v>1931</v>
      </c>
      <c r="R24" s="33"/>
      <c r="S24" s="33"/>
      <c r="T24" s="33"/>
      <c r="U24" s="33" t="n">
        <v>9418</v>
      </c>
      <c r="V24" s="33"/>
      <c r="W24" s="33"/>
      <c r="X24" s="33"/>
      <c r="Y24" s="33" t="n">
        <v>12686</v>
      </c>
      <c r="Z24" s="33"/>
      <c r="AA24" s="34" t="n">
        <f aca="false">SUM(K24:Z24)</f>
        <v>36322</v>
      </c>
      <c r="AB24" s="35" t="n">
        <f aca="false">SUM(AA24/H24)</f>
        <v>12107.3333333333</v>
      </c>
      <c r="AC24" s="36" t="n">
        <f aca="false">AB24/$AB$2</f>
        <v>807.155555555556</v>
      </c>
    </row>
    <row r="25" customFormat="false" ht="19.5" hidden="false" customHeight="true" outlineLevel="0" collapsed="false">
      <c r="A25" s="46" t="s">
        <v>60</v>
      </c>
      <c r="B25" s="38" t="s">
        <v>17</v>
      </c>
      <c r="C25" s="25" t="n">
        <v>802</v>
      </c>
      <c r="D25" s="26" t="s">
        <v>61</v>
      </c>
      <c r="E25" s="27" t="s">
        <v>32</v>
      </c>
      <c r="F25" s="28" t="s">
        <v>33</v>
      </c>
      <c r="G25" s="29" t="s">
        <v>63</v>
      </c>
      <c r="H25" s="30" t="n">
        <v>1.6</v>
      </c>
      <c r="I25" s="31" t="s">
        <v>22</v>
      </c>
      <c r="J25" s="32" t="n">
        <v>45909</v>
      </c>
      <c r="K25" s="33" t="n">
        <v>2106</v>
      </c>
      <c r="L25" s="33"/>
      <c r="M25" s="33" t="n">
        <v>3392</v>
      </c>
      <c r="N25" s="33" t="n">
        <v>1898</v>
      </c>
      <c r="O25" s="33"/>
      <c r="P25" s="33"/>
      <c r="Q25" s="33"/>
      <c r="R25" s="33" t="n">
        <v>3244</v>
      </c>
      <c r="S25" s="33"/>
      <c r="T25" s="33" t="n">
        <v>1804</v>
      </c>
      <c r="U25" s="33" t="n">
        <v>550</v>
      </c>
      <c r="V25" s="33"/>
      <c r="W25" s="33"/>
      <c r="X25" s="33" t="n">
        <v>3652</v>
      </c>
      <c r="Y25" s="33"/>
      <c r="Z25" s="33"/>
      <c r="AA25" s="34" t="n">
        <f aca="false">SUM(K25:Z25)</f>
        <v>16646</v>
      </c>
      <c r="AB25" s="35" t="n">
        <f aca="false">SUM(AA25/H25)</f>
        <v>10403.75</v>
      </c>
      <c r="AC25" s="36" t="n">
        <f aca="false">AB25/$AB$2</f>
        <v>693.583333333333</v>
      </c>
    </row>
    <row r="26" customFormat="false" ht="19.5" hidden="true" customHeight="true" outlineLevel="0" collapsed="false">
      <c r="A26" s="46" t="s">
        <v>60</v>
      </c>
      <c r="B26" s="38" t="s">
        <v>17</v>
      </c>
      <c r="C26" s="25" t="n">
        <v>802</v>
      </c>
      <c r="D26" s="26" t="s">
        <v>61</v>
      </c>
      <c r="E26" s="27" t="s">
        <v>64</v>
      </c>
      <c r="F26" s="28" t="s">
        <v>49</v>
      </c>
      <c r="G26" s="29" t="n">
        <v>1</v>
      </c>
      <c r="H26" s="30" t="n">
        <v>1</v>
      </c>
      <c r="I26" s="31" t="s">
        <v>22</v>
      </c>
      <c r="J26" s="32" t="n">
        <v>45870</v>
      </c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4" t="n">
        <f aca="false">SUM(K26:Z26)</f>
        <v>0</v>
      </c>
      <c r="AB26" s="35" t="n">
        <f aca="false">SUM(AA26/H26)</f>
        <v>0</v>
      </c>
      <c r="AC26" s="36" t="n">
        <f aca="false">AB26/$AB$2</f>
        <v>0</v>
      </c>
    </row>
    <row r="27" customFormat="false" ht="19.5" hidden="false" customHeight="true" outlineLevel="0" collapsed="false">
      <c r="A27" s="47" t="s">
        <v>65</v>
      </c>
      <c r="B27" s="38" t="s">
        <v>66</v>
      </c>
      <c r="C27" s="25" t="n">
        <v>903</v>
      </c>
      <c r="D27" s="26" t="s">
        <v>67</v>
      </c>
      <c r="E27" s="27" t="s">
        <v>32</v>
      </c>
      <c r="F27" s="28" t="s">
        <v>33</v>
      </c>
      <c r="G27" s="29" t="s">
        <v>41</v>
      </c>
      <c r="H27" s="30" t="n">
        <v>2.5</v>
      </c>
      <c r="I27" s="31" t="s">
        <v>22</v>
      </c>
      <c r="J27" s="32" t="n">
        <v>45922</v>
      </c>
      <c r="K27" s="33"/>
      <c r="L27" s="33"/>
      <c r="M27" s="33"/>
      <c r="N27" s="33" t="n">
        <v>5016</v>
      </c>
      <c r="O27" s="33" t="n">
        <v>9932</v>
      </c>
      <c r="P27" s="33"/>
      <c r="Q27" s="33"/>
      <c r="R27" s="33"/>
      <c r="S27" s="33"/>
      <c r="T27" s="33"/>
      <c r="U27" s="33"/>
      <c r="V27" s="33" t="n">
        <v>6136</v>
      </c>
      <c r="W27" s="33" t="n">
        <v>6160</v>
      </c>
      <c r="X27" s="33"/>
      <c r="Y27" s="33" t="n">
        <v>3232</v>
      </c>
      <c r="Z27" s="33"/>
      <c r="AA27" s="34" t="n">
        <f aca="false">SUM(K27:Z27)</f>
        <v>30476</v>
      </c>
      <c r="AB27" s="35" t="n">
        <f aca="false">SUM(AA27/H27)</f>
        <v>12190.4</v>
      </c>
      <c r="AC27" s="36" t="n">
        <f aca="false">AB27/$AB$2</f>
        <v>812.693333333333</v>
      </c>
    </row>
    <row r="28" customFormat="false" ht="19.5" hidden="false" customHeight="true" outlineLevel="0" collapsed="false">
      <c r="A28" s="47" t="s">
        <v>65</v>
      </c>
      <c r="B28" s="38" t="s">
        <v>66</v>
      </c>
      <c r="C28" s="25" t="n">
        <v>903</v>
      </c>
      <c r="D28" s="26" t="s">
        <v>67</v>
      </c>
      <c r="E28" s="27" t="s">
        <v>32</v>
      </c>
      <c r="F28" s="28" t="s">
        <v>33</v>
      </c>
      <c r="G28" s="29" t="n">
        <v>7</v>
      </c>
      <c r="H28" s="30" t="n">
        <v>1</v>
      </c>
      <c r="I28" s="31" t="s">
        <v>22</v>
      </c>
      <c r="J28" s="32" t="n">
        <v>45951</v>
      </c>
      <c r="K28" s="33" t="n">
        <v>6452</v>
      </c>
      <c r="L28" s="33"/>
      <c r="M28" s="33"/>
      <c r="N28" s="33"/>
      <c r="O28" s="33"/>
      <c r="P28" s="33"/>
      <c r="Q28" s="33" t="n">
        <v>6414</v>
      </c>
      <c r="R28" s="33"/>
      <c r="S28" s="33"/>
      <c r="T28" s="33"/>
      <c r="U28" s="33"/>
      <c r="V28" s="33"/>
      <c r="W28" s="33"/>
      <c r="X28" s="33" t="n">
        <v>6858</v>
      </c>
      <c r="Y28" s="33" t="n">
        <v>3152</v>
      </c>
      <c r="Z28" s="33"/>
      <c r="AA28" s="34" t="n">
        <f aca="false">SUM(K28:Z28)</f>
        <v>22876</v>
      </c>
      <c r="AB28" s="35" t="n">
        <f aca="false">SUM(AA28/H28)</f>
        <v>22876</v>
      </c>
      <c r="AC28" s="36" t="n">
        <f aca="false">AB28/$AB$2</f>
        <v>1525.06666666667</v>
      </c>
    </row>
    <row r="29" customFormat="false" ht="19.5" hidden="true" customHeight="true" outlineLevel="0" collapsed="false">
      <c r="A29" s="47" t="s">
        <v>65</v>
      </c>
      <c r="B29" s="38" t="s">
        <v>66</v>
      </c>
      <c r="C29" s="25" t="n">
        <v>903</v>
      </c>
      <c r="D29" s="26" t="s">
        <v>67</v>
      </c>
      <c r="E29" s="27" t="s">
        <v>68</v>
      </c>
      <c r="F29" s="28" t="s">
        <v>69</v>
      </c>
      <c r="G29" s="29" t="s">
        <v>45</v>
      </c>
      <c r="H29" s="30" t="n">
        <v>2</v>
      </c>
      <c r="I29" s="31" t="s">
        <v>22</v>
      </c>
      <c r="J29" s="32" t="n">
        <v>45891</v>
      </c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4" t="n">
        <f aca="false">SUM(K29:Z29)</f>
        <v>0</v>
      </c>
      <c r="AB29" s="35" t="n">
        <f aca="false">SUM(AA29/H29)</f>
        <v>0</v>
      </c>
      <c r="AC29" s="36" t="n">
        <f aca="false">AB29/$AB$2</f>
        <v>0</v>
      </c>
    </row>
    <row r="30" customFormat="false" ht="19.5" hidden="false" customHeight="true" outlineLevel="0" collapsed="false">
      <c r="A30" s="48" t="s">
        <v>70</v>
      </c>
      <c r="B30" s="38" t="s">
        <v>26</v>
      </c>
      <c r="C30" s="25" t="n">
        <v>1013</v>
      </c>
      <c r="D30" s="26" t="s">
        <v>71</v>
      </c>
      <c r="E30" s="27" t="s">
        <v>35</v>
      </c>
      <c r="F30" s="28" t="s">
        <v>20</v>
      </c>
      <c r="G30" s="29" t="s">
        <v>72</v>
      </c>
      <c r="H30" s="30" t="n">
        <v>2.28</v>
      </c>
      <c r="I30" s="31" t="s">
        <v>22</v>
      </c>
      <c r="J30" s="32" t="n">
        <v>45841</v>
      </c>
      <c r="K30" s="33" t="n">
        <v>6334</v>
      </c>
      <c r="L30" s="33" t="n">
        <v>1829</v>
      </c>
      <c r="M30" s="33" t="n">
        <v>6550</v>
      </c>
      <c r="N30" s="33"/>
      <c r="O30" s="33" t="n">
        <v>5662</v>
      </c>
      <c r="P30" s="33"/>
      <c r="Q30" s="33"/>
      <c r="R30" s="33" t="n">
        <v>4010</v>
      </c>
      <c r="S30" s="33"/>
      <c r="T30" s="33"/>
      <c r="U30" s="33" t="n">
        <v>3804</v>
      </c>
      <c r="V30" s="33"/>
      <c r="W30" s="33"/>
      <c r="X30" s="33" t="n">
        <v>4034</v>
      </c>
      <c r="Y30" s="33"/>
      <c r="Z30" s="33"/>
      <c r="AA30" s="34" t="n">
        <f aca="false">SUM(K30:Z30)</f>
        <v>32223</v>
      </c>
      <c r="AB30" s="35" t="n">
        <f aca="false">SUM(AA30/H30)</f>
        <v>14132.8947368421</v>
      </c>
      <c r="AC30" s="36" t="n">
        <f aca="false">AB30/$AB$2</f>
        <v>942.192982456141</v>
      </c>
    </row>
    <row r="31" customFormat="false" ht="19.5" hidden="false" customHeight="true" outlineLevel="0" collapsed="false">
      <c r="A31" s="48" t="s">
        <v>70</v>
      </c>
      <c r="B31" s="38" t="s">
        <v>26</v>
      </c>
      <c r="C31" s="25" t="n">
        <v>1015</v>
      </c>
      <c r="D31" s="26" t="s">
        <v>73</v>
      </c>
      <c r="E31" s="27" t="s">
        <v>74</v>
      </c>
      <c r="F31" s="28" t="s">
        <v>20</v>
      </c>
      <c r="G31" s="29" t="s">
        <v>75</v>
      </c>
      <c r="H31" s="30" t="n">
        <v>3.52</v>
      </c>
      <c r="I31" s="31" t="s">
        <v>22</v>
      </c>
      <c r="J31" s="32" t="n">
        <v>45941</v>
      </c>
      <c r="K31" s="33" t="n">
        <v>1522</v>
      </c>
      <c r="L31" s="33" t="n">
        <v>7560</v>
      </c>
      <c r="M31" s="33" t="n">
        <v>2948</v>
      </c>
      <c r="N31" s="33" t="n">
        <v>3938</v>
      </c>
      <c r="O31" s="33" t="n">
        <v>3042</v>
      </c>
      <c r="P31" s="33" t="n">
        <v>2134</v>
      </c>
      <c r="Q31" s="33" t="n">
        <v>6978</v>
      </c>
      <c r="R31" s="33" t="n">
        <v>3170</v>
      </c>
      <c r="S31" s="33" t="n">
        <v>1292</v>
      </c>
      <c r="T31" s="33" t="n">
        <v>12042</v>
      </c>
      <c r="U31" s="33" t="n">
        <v>1792</v>
      </c>
      <c r="V31" s="33" t="n">
        <v>7612</v>
      </c>
      <c r="W31" s="33" t="n">
        <v>2094</v>
      </c>
      <c r="X31" s="33" t="n">
        <v>2733</v>
      </c>
      <c r="Y31" s="33" t="n">
        <v>1706</v>
      </c>
      <c r="Z31" s="33"/>
      <c r="AA31" s="34" t="n">
        <f aca="false">SUM(K31:Z31)</f>
        <v>60563</v>
      </c>
      <c r="AB31" s="35" t="n">
        <f aca="false">SUM(AA31/H31)</f>
        <v>17205.3977272727</v>
      </c>
      <c r="AC31" s="36" t="n">
        <f aca="false">AB31/$AB$2</f>
        <v>1147.02651515152</v>
      </c>
    </row>
    <row r="32" customFormat="false" ht="19.5" hidden="false" customHeight="true" outlineLevel="0" collapsed="false">
      <c r="A32" s="48" t="s">
        <v>70</v>
      </c>
      <c r="B32" s="38" t="s">
        <v>26</v>
      </c>
      <c r="C32" s="25" t="n">
        <v>1013</v>
      </c>
      <c r="D32" s="26" t="s">
        <v>71</v>
      </c>
      <c r="E32" s="27" t="s">
        <v>74</v>
      </c>
      <c r="F32" s="28" t="s">
        <v>20</v>
      </c>
      <c r="G32" s="29" t="s">
        <v>76</v>
      </c>
      <c r="H32" s="30" t="n">
        <v>2.11</v>
      </c>
      <c r="I32" s="31" t="s">
        <v>22</v>
      </c>
      <c r="J32" s="32" t="n">
        <v>45854</v>
      </c>
      <c r="K32" s="33"/>
      <c r="L32" s="33" t="n">
        <v>4649</v>
      </c>
      <c r="M32" s="33"/>
      <c r="N32" s="33"/>
      <c r="O32" s="33"/>
      <c r="P32" s="33" t="n">
        <v>6406</v>
      </c>
      <c r="Q32" s="33"/>
      <c r="R32" s="33"/>
      <c r="S32" s="33" t="n">
        <v>4492</v>
      </c>
      <c r="T32" s="33"/>
      <c r="U32" s="33"/>
      <c r="V32" s="33" t="n">
        <v>2766</v>
      </c>
      <c r="W32" s="33"/>
      <c r="X32" s="33"/>
      <c r="Y32" s="33"/>
      <c r="Z32" s="33"/>
      <c r="AA32" s="34" t="n">
        <f aca="false">SUM(K32:Z32)</f>
        <v>18313</v>
      </c>
      <c r="AB32" s="35" t="n">
        <f aca="false">SUM(AA32/H32)</f>
        <v>8679.14691943128</v>
      </c>
      <c r="AC32" s="36" t="n">
        <f aca="false">AB32/$AB$2</f>
        <v>578.609794628752</v>
      </c>
    </row>
    <row r="33" customFormat="false" ht="19.5" hidden="true" customHeight="true" outlineLevel="0" collapsed="false">
      <c r="A33" s="49" t="s">
        <v>77</v>
      </c>
      <c r="B33" s="38" t="s">
        <v>78</v>
      </c>
      <c r="C33" s="25" t="n">
        <v>803</v>
      </c>
      <c r="D33" s="26" t="s">
        <v>79</v>
      </c>
      <c r="E33" s="27" t="s">
        <v>80</v>
      </c>
      <c r="F33" s="28" t="s">
        <v>20</v>
      </c>
      <c r="G33" s="29" t="s">
        <v>81</v>
      </c>
      <c r="H33" s="30" t="n">
        <v>2.25</v>
      </c>
      <c r="I33" s="41" t="s">
        <v>34</v>
      </c>
      <c r="J33" s="32" t="n">
        <v>45753</v>
      </c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4" t="n">
        <f aca="false">SUM(K33:Z33)</f>
        <v>0</v>
      </c>
      <c r="AB33" s="35" t="n">
        <f aca="false">SUM(AA33/H33)</f>
        <v>0</v>
      </c>
      <c r="AC33" s="36" t="n">
        <f aca="false">AB33/$AB$2</f>
        <v>0</v>
      </c>
    </row>
    <row r="34" customFormat="false" ht="19.5" hidden="false" customHeight="true" outlineLevel="0" collapsed="false">
      <c r="A34" s="44" t="s">
        <v>57</v>
      </c>
      <c r="B34" s="45" t="s">
        <v>58</v>
      </c>
      <c r="C34" s="25" t="n">
        <v>602</v>
      </c>
      <c r="D34" s="26" t="s">
        <v>82</v>
      </c>
      <c r="E34" s="27" t="s">
        <v>48</v>
      </c>
      <c r="F34" s="28" t="s">
        <v>49</v>
      </c>
      <c r="G34" s="29" t="s">
        <v>75</v>
      </c>
      <c r="H34" s="30" t="n">
        <v>4</v>
      </c>
      <c r="I34" s="31" t="s">
        <v>22</v>
      </c>
      <c r="J34" s="32" t="n">
        <v>45924</v>
      </c>
      <c r="K34" s="33"/>
      <c r="L34" s="33" t="n">
        <v>1818</v>
      </c>
      <c r="M34" s="33" t="n">
        <v>3865</v>
      </c>
      <c r="N34" s="33" t="n">
        <v>1360</v>
      </c>
      <c r="O34" s="33"/>
      <c r="P34" s="33"/>
      <c r="Q34" s="33" t="n">
        <v>7429</v>
      </c>
      <c r="R34" s="33"/>
      <c r="S34" s="33"/>
      <c r="T34" s="33" t="n">
        <v>5931</v>
      </c>
      <c r="U34" s="33" t="n">
        <v>764</v>
      </c>
      <c r="V34" s="33"/>
      <c r="W34" s="33" t="n">
        <v>7232</v>
      </c>
      <c r="X34" s="33"/>
      <c r="Y34" s="33"/>
      <c r="Z34" s="33"/>
      <c r="AA34" s="34" t="n">
        <f aca="false">SUM(K34:Z34)</f>
        <v>28399</v>
      </c>
      <c r="AB34" s="35" t="n">
        <f aca="false">SUM(AA34/H34)</f>
        <v>7099.75</v>
      </c>
      <c r="AC34" s="36" t="n">
        <f aca="false">AB34/$AB$2</f>
        <v>473.316666666667</v>
      </c>
    </row>
    <row r="35" customFormat="false" ht="19.5" hidden="false" customHeight="true" outlineLevel="0" collapsed="false">
      <c r="A35" s="44" t="s">
        <v>57</v>
      </c>
      <c r="B35" s="45" t="s">
        <v>58</v>
      </c>
      <c r="C35" s="25" t="n">
        <v>602</v>
      </c>
      <c r="D35" s="26" t="s">
        <v>82</v>
      </c>
      <c r="E35" s="27" t="s">
        <v>50</v>
      </c>
      <c r="F35" s="28" t="s">
        <v>49</v>
      </c>
      <c r="G35" s="29" t="s">
        <v>28</v>
      </c>
      <c r="H35" s="30" t="n">
        <v>2.45</v>
      </c>
      <c r="I35" s="31" t="s">
        <v>22</v>
      </c>
      <c r="J35" s="32" t="n">
        <v>45902</v>
      </c>
      <c r="K35" s="33"/>
      <c r="L35" s="33"/>
      <c r="M35" s="33" t="n">
        <v>2425</v>
      </c>
      <c r="N35" s="33"/>
      <c r="O35" s="33" t="n">
        <v>2367</v>
      </c>
      <c r="P35" s="33"/>
      <c r="Q35" s="33"/>
      <c r="R35" s="33"/>
      <c r="S35" s="33" t="n">
        <v>4574</v>
      </c>
      <c r="T35" s="33"/>
      <c r="U35" s="33"/>
      <c r="V35" s="33" t="n">
        <v>4545</v>
      </c>
      <c r="W35" s="33"/>
      <c r="X35" s="33"/>
      <c r="Y35" s="33" t="n">
        <v>3736</v>
      </c>
      <c r="Z35" s="33"/>
      <c r="AA35" s="34" t="n">
        <f aca="false">SUM(K35:Z35)</f>
        <v>17647</v>
      </c>
      <c r="AB35" s="35" t="n">
        <f aca="false">SUM(AA35/H35)</f>
        <v>7202.85714285714</v>
      </c>
      <c r="AC35" s="36" t="n">
        <f aca="false">AB35/$AB$2</f>
        <v>480.190476190476</v>
      </c>
    </row>
    <row r="36" customFormat="false" ht="19.5" hidden="false" customHeight="true" outlineLevel="0" collapsed="false">
      <c r="A36" s="50" t="s">
        <v>83</v>
      </c>
      <c r="B36" s="45" t="s">
        <v>84</v>
      </c>
      <c r="C36" s="25" t="n">
        <v>204</v>
      </c>
      <c r="D36" s="26" t="s">
        <v>85</v>
      </c>
      <c r="E36" s="27" t="s">
        <v>86</v>
      </c>
      <c r="F36" s="28" t="s">
        <v>87</v>
      </c>
      <c r="G36" s="29" t="n">
        <v>1</v>
      </c>
      <c r="H36" s="30" t="n">
        <v>1</v>
      </c>
      <c r="I36" s="31" t="s">
        <v>22</v>
      </c>
      <c r="J36" s="32" t="n">
        <v>45878</v>
      </c>
      <c r="K36" s="33"/>
      <c r="L36" s="33"/>
      <c r="M36" s="33"/>
      <c r="N36" s="33"/>
      <c r="O36" s="33" t="n">
        <v>1309</v>
      </c>
      <c r="P36" s="33"/>
      <c r="Q36" s="33"/>
      <c r="R36" s="33" t="n">
        <v>201</v>
      </c>
      <c r="S36" s="33"/>
      <c r="T36" s="33"/>
      <c r="U36" s="33" t="n">
        <v>686</v>
      </c>
      <c r="V36" s="33"/>
      <c r="W36" s="33"/>
      <c r="X36" s="33"/>
      <c r="Y36" s="33"/>
      <c r="Z36" s="33"/>
      <c r="AA36" s="34" t="n">
        <f aca="false">SUM(K36:Z36)</f>
        <v>2196</v>
      </c>
      <c r="AB36" s="35" t="n">
        <f aca="false">SUM(AA36/H36)</f>
        <v>2196</v>
      </c>
      <c r="AC36" s="36" t="n">
        <f aca="false">AB36/$AB$2</f>
        <v>146.4</v>
      </c>
    </row>
    <row r="37" customFormat="false" ht="19.5" hidden="false" customHeight="true" outlineLevel="0" collapsed="false">
      <c r="A37" s="50" t="s">
        <v>83</v>
      </c>
      <c r="B37" s="45" t="s">
        <v>84</v>
      </c>
      <c r="C37" s="25" t="n">
        <v>204</v>
      </c>
      <c r="D37" s="26" t="s">
        <v>85</v>
      </c>
      <c r="E37" s="27" t="s">
        <v>48</v>
      </c>
      <c r="F37" s="28" t="s">
        <v>49</v>
      </c>
      <c r="G37" s="29" t="s">
        <v>88</v>
      </c>
      <c r="H37" s="30" t="n">
        <v>2.6</v>
      </c>
      <c r="I37" s="31" t="s">
        <v>22</v>
      </c>
      <c r="J37" s="32" t="n">
        <v>45932</v>
      </c>
      <c r="K37" s="33" t="n">
        <v>4954</v>
      </c>
      <c r="L37" s="33" t="n">
        <v>3648</v>
      </c>
      <c r="M37" s="33" t="n">
        <v>760</v>
      </c>
      <c r="N37" s="33" t="n">
        <v>4984</v>
      </c>
      <c r="O37" s="33" t="n">
        <v>536</v>
      </c>
      <c r="P37" s="33"/>
      <c r="Q37" s="33" t="n">
        <v>5064</v>
      </c>
      <c r="R37" s="33" t="n">
        <v>2704</v>
      </c>
      <c r="S37" s="33"/>
      <c r="T37" s="33" t="n">
        <v>4758</v>
      </c>
      <c r="U37" s="33" t="n">
        <v>3514</v>
      </c>
      <c r="V37" s="33" t="n">
        <v>464</v>
      </c>
      <c r="W37" s="33"/>
      <c r="X37" s="33"/>
      <c r="Y37" s="33" t="n">
        <v>6448</v>
      </c>
      <c r="Z37" s="33"/>
      <c r="AA37" s="34" t="n">
        <f aca="false">SUM(K37:Z37)</f>
        <v>37834</v>
      </c>
      <c r="AB37" s="35" t="n">
        <f aca="false">SUM(AA37/H37)</f>
        <v>14551.5384615385</v>
      </c>
      <c r="AC37" s="36" t="n">
        <f aca="false">AB37/$AB$2</f>
        <v>970.102564102564</v>
      </c>
    </row>
    <row r="38" customFormat="false" ht="19.5" hidden="false" customHeight="true" outlineLevel="0" collapsed="false">
      <c r="A38" s="39" t="s">
        <v>29</v>
      </c>
      <c r="B38" s="45" t="s">
        <v>30</v>
      </c>
      <c r="C38" s="25" t="n">
        <v>502</v>
      </c>
      <c r="D38" s="26" t="s">
        <v>31</v>
      </c>
      <c r="E38" s="27" t="s">
        <v>55</v>
      </c>
      <c r="F38" s="28" t="s">
        <v>33</v>
      </c>
      <c r="G38" s="29" t="s">
        <v>89</v>
      </c>
      <c r="H38" s="30" t="n">
        <v>2.5</v>
      </c>
      <c r="I38" s="41" t="s">
        <v>34</v>
      </c>
      <c r="J38" s="32" t="n">
        <v>45805</v>
      </c>
      <c r="K38" s="33"/>
      <c r="L38" s="33"/>
      <c r="M38" s="33"/>
      <c r="N38" s="33"/>
      <c r="O38" s="33"/>
      <c r="P38" s="33"/>
      <c r="Q38" s="33"/>
      <c r="R38" s="33"/>
      <c r="S38" s="33" t="n">
        <v>2121</v>
      </c>
      <c r="T38" s="33" t="n">
        <v>2245</v>
      </c>
      <c r="U38" s="33" t="n">
        <v>2256</v>
      </c>
      <c r="V38" s="33"/>
      <c r="W38" s="33"/>
      <c r="X38" s="33"/>
      <c r="Y38" s="33"/>
      <c r="Z38" s="33"/>
      <c r="AA38" s="34" t="n">
        <f aca="false">SUM(K38:Z38)</f>
        <v>6622</v>
      </c>
      <c r="AB38" s="35" t="n">
        <f aca="false">SUM(AA38/H38)</f>
        <v>2648.8</v>
      </c>
      <c r="AC38" s="36" t="n">
        <f aca="false">AB38/$AB$2</f>
        <v>176.586666666667</v>
      </c>
    </row>
    <row r="39" customFormat="false" ht="19.5" hidden="false" customHeight="true" outlineLevel="0" collapsed="false">
      <c r="A39" s="39" t="s">
        <v>29</v>
      </c>
      <c r="B39" s="45" t="s">
        <v>30</v>
      </c>
      <c r="C39" s="25" t="n">
        <v>502</v>
      </c>
      <c r="D39" s="26" t="s">
        <v>31</v>
      </c>
      <c r="E39" s="27" t="s">
        <v>90</v>
      </c>
      <c r="F39" s="28" t="s">
        <v>33</v>
      </c>
      <c r="G39" s="29" t="s">
        <v>91</v>
      </c>
      <c r="H39" s="30" t="n">
        <v>2</v>
      </c>
      <c r="I39" s="41" t="s">
        <v>34</v>
      </c>
      <c r="J39" s="32" t="n">
        <v>45799</v>
      </c>
      <c r="K39" s="33" t="n">
        <v>1574</v>
      </c>
      <c r="L39" s="33"/>
      <c r="M39" s="33" t="n">
        <v>2386</v>
      </c>
      <c r="N39" s="33"/>
      <c r="O39" s="33" t="n">
        <v>2902</v>
      </c>
      <c r="P39" s="33"/>
      <c r="Q39" s="33"/>
      <c r="R39" s="33"/>
      <c r="S39" s="33"/>
      <c r="T39" s="33"/>
      <c r="U39" s="33"/>
      <c r="V39" s="33" t="n">
        <v>3063</v>
      </c>
      <c r="W39" s="33"/>
      <c r="X39" s="33"/>
      <c r="Y39" s="33" t="n">
        <v>2274</v>
      </c>
      <c r="Z39" s="33"/>
      <c r="AA39" s="34" t="n">
        <f aca="false">SUM(K39:Z39)</f>
        <v>12199</v>
      </c>
      <c r="AB39" s="35" t="n">
        <f aca="false">SUM(AA39/H39)</f>
        <v>6099.5</v>
      </c>
      <c r="AC39" s="36" t="n">
        <f aca="false">AB39/$AB$2</f>
        <v>406.633333333333</v>
      </c>
    </row>
    <row r="40" customFormat="false" ht="19.5" hidden="true" customHeight="true" outlineLevel="0" collapsed="false">
      <c r="A40" s="24" t="s">
        <v>42</v>
      </c>
      <c r="B40" s="45" t="s">
        <v>43</v>
      </c>
      <c r="C40" s="25" t="n">
        <v>102</v>
      </c>
      <c r="D40" s="26" t="s">
        <v>92</v>
      </c>
      <c r="E40" s="27" t="s">
        <v>93</v>
      </c>
      <c r="F40" s="28" t="s">
        <v>20</v>
      </c>
      <c r="G40" s="29" t="n">
        <v>5</v>
      </c>
      <c r="H40" s="30" t="n">
        <v>1</v>
      </c>
      <c r="I40" s="41" t="s">
        <v>34</v>
      </c>
      <c r="J40" s="32" t="n">
        <v>45762</v>
      </c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4" t="n">
        <f aca="false">SUM(K40:Z40)</f>
        <v>0</v>
      </c>
      <c r="AB40" s="35" t="n">
        <f aca="false">SUM(AA40/H40)</f>
        <v>0</v>
      </c>
      <c r="AC40" s="36" t="n">
        <f aca="false">AB40/$AB$2</f>
        <v>0</v>
      </c>
    </row>
    <row r="41" customFormat="false" ht="19.5" hidden="false" customHeight="true" outlineLevel="0" collapsed="false">
      <c r="A41" s="24" t="s">
        <v>42</v>
      </c>
      <c r="B41" s="45" t="s">
        <v>43</v>
      </c>
      <c r="C41" s="25" t="n">
        <v>102</v>
      </c>
      <c r="D41" s="26" t="s">
        <v>92</v>
      </c>
      <c r="E41" s="27" t="s">
        <v>48</v>
      </c>
      <c r="F41" s="28" t="s">
        <v>49</v>
      </c>
      <c r="G41" s="29" t="s">
        <v>45</v>
      </c>
      <c r="H41" s="30" t="n">
        <v>2.25</v>
      </c>
      <c r="I41" s="31" t="s">
        <v>22</v>
      </c>
      <c r="J41" s="32" t="n">
        <v>45872</v>
      </c>
      <c r="K41" s="33" t="n">
        <v>2638</v>
      </c>
      <c r="L41" s="33" t="n">
        <v>2001</v>
      </c>
      <c r="M41" s="33"/>
      <c r="N41" s="33"/>
      <c r="O41" s="33" t="n">
        <v>1866</v>
      </c>
      <c r="P41" s="33" t="n">
        <v>2410</v>
      </c>
      <c r="Q41" s="33"/>
      <c r="R41" s="33" t="n">
        <v>2233</v>
      </c>
      <c r="S41" s="33" t="n">
        <v>1832</v>
      </c>
      <c r="T41" s="33"/>
      <c r="U41" s="33"/>
      <c r="V41" s="33" t="n">
        <v>4525</v>
      </c>
      <c r="W41" s="33"/>
      <c r="X41" s="33"/>
      <c r="Y41" s="33" t="n">
        <v>3749</v>
      </c>
      <c r="Z41" s="33"/>
      <c r="AA41" s="34" t="n">
        <f aca="false">SUM(K41:Z41)</f>
        <v>21254</v>
      </c>
      <c r="AB41" s="35" t="n">
        <f aca="false">SUM(AA41/H41)</f>
        <v>9446.22222222222</v>
      </c>
      <c r="AC41" s="36" t="n">
        <f aca="false">AB41/$AB$2</f>
        <v>629.748148148148</v>
      </c>
    </row>
    <row r="42" customFormat="false" ht="19.5" hidden="false" customHeight="true" outlineLevel="0" collapsed="false">
      <c r="A42" s="37" t="s">
        <v>25</v>
      </c>
      <c r="B42" s="45" t="s">
        <v>26</v>
      </c>
      <c r="C42" s="25" t="n">
        <v>402</v>
      </c>
      <c r="D42" s="26" t="s">
        <v>94</v>
      </c>
      <c r="E42" s="27" t="s">
        <v>32</v>
      </c>
      <c r="F42" s="28" t="s">
        <v>33</v>
      </c>
      <c r="G42" s="29" t="s">
        <v>45</v>
      </c>
      <c r="H42" s="30" t="n">
        <v>2</v>
      </c>
      <c r="I42" s="31" t="s">
        <v>22</v>
      </c>
      <c r="J42" s="32" t="n">
        <v>45907</v>
      </c>
      <c r="K42" s="33" t="n">
        <v>1084</v>
      </c>
      <c r="L42" s="33" t="n">
        <v>3758</v>
      </c>
      <c r="M42" s="33"/>
      <c r="N42" s="33"/>
      <c r="O42" s="33"/>
      <c r="P42" s="33" t="n">
        <v>1540</v>
      </c>
      <c r="Q42" s="33" t="n">
        <v>4214</v>
      </c>
      <c r="R42" s="33"/>
      <c r="S42" s="33" t="n">
        <v>1495</v>
      </c>
      <c r="T42" s="33" t="n">
        <v>3194</v>
      </c>
      <c r="U42" s="33"/>
      <c r="V42" s="33"/>
      <c r="W42" s="33" t="n">
        <v>3882</v>
      </c>
      <c r="X42" s="33" t="n">
        <v>1540</v>
      </c>
      <c r="Y42" s="33"/>
      <c r="Z42" s="33"/>
      <c r="AA42" s="34" t="n">
        <f aca="false">SUM(K42:Z42)</f>
        <v>20707</v>
      </c>
      <c r="AB42" s="35" t="n">
        <f aca="false">SUM(AA42/H42)</f>
        <v>10353.5</v>
      </c>
      <c r="AC42" s="36" t="n">
        <f aca="false">AB42/$AB$2</f>
        <v>690.233333333333</v>
      </c>
    </row>
    <row r="43" customFormat="false" ht="19.5" hidden="false" customHeight="true" outlineLevel="0" collapsed="false">
      <c r="A43" s="37" t="s">
        <v>25</v>
      </c>
      <c r="B43" s="45" t="s">
        <v>26</v>
      </c>
      <c r="C43" s="25" t="n">
        <v>402</v>
      </c>
      <c r="D43" s="26" t="s">
        <v>94</v>
      </c>
      <c r="E43" s="27" t="s">
        <v>48</v>
      </c>
      <c r="F43" s="28" t="s">
        <v>49</v>
      </c>
      <c r="G43" s="29" t="s">
        <v>89</v>
      </c>
      <c r="H43" s="30" t="n">
        <v>2</v>
      </c>
      <c r="I43" s="31" t="s">
        <v>22</v>
      </c>
      <c r="J43" s="32" t="n">
        <v>45893</v>
      </c>
      <c r="K43" s="33"/>
      <c r="L43" s="33"/>
      <c r="M43" s="33" t="n">
        <v>3112</v>
      </c>
      <c r="N43" s="33"/>
      <c r="O43" s="33"/>
      <c r="P43" s="33" t="n">
        <v>2642</v>
      </c>
      <c r="Q43" s="33"/>
      <c r="R43" s="33"/>
      <c r="S43" s="33" t="n">
        <v>2722</v>
      </c>
      <c r="T43" s="33"/>
      <c r="U43" s="33"/>
      <c r="V43" s="33" t="n">
        <v>2674</v>
      </c>
      <c r="W43" s="33"/>
      <c r="X43" s="33"/>
      <c r="Y43" s="33" t="n">
        <v>1791</v>
      </c>
      <c r="Z43" s="33"/>
      <c r="AA43" s="34" t="n">
        <f aca="false">SUM(K43:Z43)</f>
        <v>12941</v>
      </c>
      <c r="AB43" s="35" t="n">
        <f aca="false">SUM(AA43/H43)</f>
        <v>6470.5</v>
      </c>
      <c r="AC43" s="36" t="n">
        <f aca="false">AB43/$AB$2</f>
        <v>431.366666666667</v>
      </c>
    </row>
    <row r="44" customFormat="false" ht="19.5" hidden="true" customHeight="true" outlineLevel="0" collapsed="false">
      <c r="A44" s="24" t="s">
        <v>42</v>
      </c>
      <c r="B44" s="45" t="s">
        <v>43</v>
      </c>
      <c r="C44" s="25" t="n">
        <v>104</v>
      </c>
      <c r="D44" s="26" t="s">
        <v>95</v>
      </c>
      <c r="E44" s="27" t="s">
        <v>80</v>
      </c>
      <c r="F44" s="28" t="s">
        <v>20</v>
      </c>
      <c r="G44" s="29" t="s">
        <v>96</v>
      </c>
      <c r="H44" s="30" t="n">
        <v>2.18</v>
      </c>
      <c r="I44" s="41" t="s">
        <v>34</v>
      </c>
      <c r="J44" s="32" t="n">
        <v>45776</v>
      </c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4" t="n">
        <f aca="false">SUM(K44:Z44)</f>
        <v>0</v>
      </c>
      <c r="AB44" s="35" t="n">
        <f aca="false">SUM(AA44/H44)</f>
        <v>0</v>
      </c>
      <c r="AC44" s="36" t="n">
        <f aca="false">AB44/$AB$2</f>
        <v>0</v>
      </c>
    </row>
    <row r="45" customFormat="false" ht="19.5" hidden="true" customHeight="true" outlineLevel="0" collapsed="false">
      <c r="A45" s="24" t="s">
        <v>42</v>
      </c>
      <c r="B45" s="45" t="s">
        <v>43</v>
      </c>
      <c r="C45" s="25" t="n">
        <v>104</v>
      </c>
      <c r="D45" s="26" t="s">
        <v>95</v>
      </c>
      <c r="E45" s="27" t="s">
        <v>50</v>
      </c>
      <c r="F45" s="28" t="s">
        <v>49</v>
      </c>
      <c r="G45" s="29" t="n">
        <v>0</v>
      </c>
      <c r="H45" s="30" t="n">
        <v>1</v>
      </c>
      <c r="I45" s="31" t="s">
        <v>22</v>
      </c>
      <c r="J45" s="32" t="n">
        <v>45964</v>
      </c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4" t="n">
        <f aca="false">SUM(K45:Z45)</f>
        <v>0</v>
      </c>
      <c r="AB45" s="35" t="n">
        <f aca="false">SUM(AA45/H45)</f>
        <v>0</v>
      </c>
      <c r="AC45" s="36" t="n">
        <f aca="false">AB45/$AB$2</f>
        <v>0</v>
      </c>
    </row>
    <row r="46" customFormat="false" ht="19.5" hidden="true" customHeight="true" outlineLevel="0" collapsed="false">
      <c r="A46" s="24" t="s">
        <v>42</v>
      </c>
      <c r="B46" s="45" t="s">
        <v>43</v>
      </c>
      <c r="C46" s="25" t="n">
        <v>104</v>
      </c>
      <c r="D46" s="26" t="s">
        <v>95</v>
      </c>
      <c r="E46" s="27" t="s">
        <v>55</v>
      </c>
      <c r="F46" s="28" t="s">
        <v>33</v>
      </c>
      <c r="G46" s="29" t="n">
        <v>9</v>
      </c>
      <c r="H46" s="30" t="n">
        <v>1.5</v>
      </c>
      <c r="I46" s="41" t="s">
        <v>34</v>
      </c>
      <c r="J46" s="32" t="n">
        <v>45808</v>
      </c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4" t="n">
        <f aca="false">SUM(K46:Z46)</f>
        <v>0</v>
      </c>
      <c r="AB46" s="35" t="n">
        <f aca="false">SUM(AA46/H46)</f>
        <v>0</v>
      </c>
      <c r="AC46" s="36" t="n">
        <f aca="false">AB46/$AB$2</f>
        <v>0</v>
      </c>
    </row>
    <row r="47" customFormat="false" ht="19.5" hidden="true" customHeight="true" outlineLevel="0" collapsed="false">
      <c r="A47" s="24" t="s">
        <v>42</v>
      </c>
      <c r="B47" s="45" t="s">
        <v>43</v>
      </c>
      <c r="C47" s="25" t="n">
        <v>104</v>
      </c>
      <c r="D47" s="26" t="s">
        <v>95</v>
      </c>
      <c r="E47" s="27" t="s">
        <v>93</v>
      </c>
      <c r="F47" s="28" t="s">
        <v>20</v>
      </c>
      <c r="G47" s="29" t="n">
        <v>3</v>
      </c>
      <c r="H47" s="30" t="n">
        <v>1</v>
      </c>
      <c r="I47" s="41" t="s">
        <v>34</v>
      </c>
      <c r="J47" s="32" t="n">
        <v>45745</v>
      </c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4" t="n">
        <f aca="false">SUM(K47:Z47)</f>
        <v>0</v>
      </c>
      <c r="AB47" s="35" t="n">
        <f aca="false">SUM(AA47/H47)</f>
        <v>0</v>
      </c>
      <c r="AC47" s="36" t="n">
        <f aca="false">AB47/$AB$2</f>
        <v>0</v>
      </c>
    </row>
    <row r="48" customFormat="false" ht="19.5" hidden="false" customHeight="true" outlineLevel="0" collapsed="false">
      <c r="A48" s="51" t="s">
        <v>97</v>
      </c>
      <c r="B48" s="45" t="s">
        <v>66</v>
      </c>
      <c r="C48" s="25" t="n">
        <v>901</v>
      </c>
      <c r="D48" s="26" t="s">
        <v>98</v>
      </c>
      <c r="E48" s="27" t="s">
        <v>55</v>
      </c>
      <c r="F48" s="28" t="s">
        <v>33</v>
      </c>
      <c r="G48" s="29" t="s">
        <v>99</v>
      </c>
      <c r="H48" s="30" t="n">
        <v>2</v>
      </c>
      <c r="I48" s="41" t="s">
        <v>34</v>
      </c>
      <c r="J48" s="32" t="n">
        <v>45780</v>
      </c>
      <c r="K48" s="33"/>
      <c r="L48" s="33"/>
      <c r="M48" s="33"/>
      <c r="N48" s="33"/>
      <c r="O48" s="33"/>
      <c r="P48" s="33"/>
      <c r="Q48" s="33"/>
      <c r="R48" s="33"/>
      <c r="S48" s="33" t="n">
        <v>430</v>
      </c>
      <c r="T48" s="33"/>
      <c r="U48" s="33"/>
      <c r="V48" s="33"/>
      <c r="W48" s="33"/>
      <c r="X48" s="33"/>
      <c r="Y48" s="33"/>
      <c r="Z48" s="33"/>
      <c r="AA48" s="34" t="n">
        <f aca="false">SUM(K48:Z48)</f>
        <v>430</v>
      </c>
      <c r="AB48" s="35" t="n">
        <f aca="false">SUM(AA48/H48)</f>
        <v>215</v>
      </c>
      <c r="AC48" s="36" t="n">
        <f aca="false">AB48/$AB$2</f>
        <v>14.3333333333333</v>
      </c>
    </row>
    <row r="49" customFormat="false" ht="19.5" hidden="false" customHeight="true" outlineLevel="0" collapsed="false">
      <c r="A49" s="51" t="s">
        <v>97</v>
      </c>
      <c r="B49" s="45" t="s">
        <v>66</v>
      </c>
      <c r="C49" s="25" t="n">
        <v>901</v>
      </c>
      <c r="D49" s="26" t="s">
        <v>98</v>
      </c>
      <c r="E49" s="27" t="s">
        <v>100</v>
      </c>
      <c r="F49" s="28" t="s">
        <v>49</v>
      </c>
      <c r="G49" s="29" t="n">
        <v>13</v>
      </c>
      <c r="H49" s="30" t="n">
        <v>1</v>
      </c>
      <c r="I49" s="31" t="s">
        <v>22</v>
      </c>
      <c r="J49" s="32" t="n">
        <v>45910</v>
      </c>
      <c r="K49" s="33"/>
      <c r="L49" s="33"/>
      <c r="M49" s="33"/>
      <c r="N49" s="33" t="n">
        <v>2137</v>
      </c>
      <c r="O49" s="33" t="n">
        <v>1094</v>
      </c>
      <c r="P49" s="33"/>
      <c r="Q49" s="33"/>
      <c r="R49" s="33"/>
      <c r="S49" s="33"/>
      <c r="T49" s="33" t="n">
        <v>3617</v>
      </c>
      <c r="U49" s="33"/>
      <c r="V49" s="33"/>
      <c r="W49" s="33"/>
      <c r="X49" s="33"/>
      <c r="Y49" s="33"/>
      <c r="Z49" s="33"/>
      <c r="AA49" s="34" t="n">
        <f aca="false">SUM(K49:Z49)</f>
        <v>6848</v>
      </c>
      <c r="AB49" s="35" t="n">
        <f aca="false">SUM(AA49/H49)</f>
        <v>6848</v>
      </c>
      <c r="AC49" s="36" t="n">
        <f aca="false">AB49/$AB$2</f>
        <v>456.533333333333</v>
      </c>
    </row>
    <row r="50" customFormat="false" ht="19.5" hidden="true" customHeight="true" outlineLevel="0" collapsed="false">
      <c r="A50" s="51" t="s">
        <v>97</v>
      </c>
      <c r="B50" s="45" t="s">
        <v>66</v>
      </c>
      <c r="C50" s="25" t="n">
        <v>901</v>
      </c>
      <c r="D50" s="26" t="s">
        <v>98</v>
      </c>
      <c r="E50" s="27" t="s">
        <v>55</v>
      </c>
      <c r="F50" s="28" t="s">
        <v>33</v>
      </c>
      <c r="G50" s="29" t="s">
        <v>101</v>
      </c>
      <c r="H50" s="30" t="n">
        <v>2</v>
      </c>
      <c r="I50" s="41" t="s">
        <v>34</v>
      </c>
      <c r="J50" s="32" t="n">
        <v>45791</v>
      </c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4" t="n">
        <f aca="false">SUM(K50:Z50)</f>
        <v>0</v>
      </c>
      <c r="AB50" s="35" t="n">
        <f aca="false">SUM(AA50/H50)</f>
        <v>0</v>
      </c>
      <c r="AC50" s="36" t="n">
        <f aca="false">AB50/$AB$2</f>
        <v>0</v>
      </c>
    </row>
    <row r="51" customFormat="false" ht="19.5" hidden="true" customHeight="true" outlineLevel="0" collapsed="false">
      <c r="A51" s="49" t="s">
        <v>102</v>
      </c>
      <c r="B51" s="45" t="s">
        <v>103</v>
      </c>
      <c r="C51" s="25" t="n">
        <v>1003</v>
      </c>
      <c r="D51" s="26" t="s">
        <v>104</v>
      </c>
      <c r="E51" s="27" t="s">
        <v>64</v>
      </c>
      <c r="F51" s="28" t="s">
        <v>49</v>
      </c>
      <c r="G51" s="52" t="s">
        <v>105</v>
      </c>
      <c r="H51" s="30" t="n">
        <v>8</v>
      </c>
      <c r="I51" s="41" t="s">
        <v>34</v>
      </c>
      <c r="J51" s="32" t="n">
        <v>45345</v>
      </c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4" t="n">
        <f aca="false">SUM(K51:Z51)</f>
        <v>0</v>
      </c>
      <c r="AB51" s="35" t="n">
        <f aca="false">SUM(AA51/H51)</f>
        <v>0</v>
      </c>
      <c r="AC51" s="36" t="n">
        <f aca="false">AB51/$AB$2</f>
        <v>0</v>
      </c>
    </row>
    <row r="52" customFormat="false" ht="19.5" hidden="false" customHeight="true" outlineLevel="0" collapsed="false">
      <c r="A52" s="53" t="s">
        <v>106</v>
      </c>
      <c r="B52" s="45" t="s">
        <v>78</v>
      </c>
      <c r="C52" s="25" t="n">
        <v>902</v>
      </c>
      <c r="D52" s="26" t="s">
        <v>107</v>
      </c>
      <c r="E52" s="27" t="s">
        <v>38</v>
      </c>
      <c r="F52" s="28" t="s">
        <v>20</v>
      </c>
      <c r="G52" s="29" t="n">
        <v>6</v>
      </c>
      <c r="H52" s="30" t="n">
        <v>0.8</v>
      </c>
      <c r="I52" s="31" t="s">
        <v>22</v>
      </c>
      <c r="J52" s="32" t="n">
        <v>45918</v>
      </c>
      <c r="K52" s="33"/>
      <c r="L52" s="33"/>
      <c r="M52" s="33"/>
      <c r="N52" s="33"/>
      <c r="O52" s="33"/>
      <c r="P52" s="33"/>
      <c r="Q52" s="33"/>
      <c r="R52" s="33"/>
      <c r="S52" s="33" t="n">
        <v>3633</v>
      </c>
      <c r="T52" s="33"/>
      <c r="U52" s="33"/>
      <c r="V52" s="33"/>
      <c r="W52" s="33" t="n">
        <v>3190</v>
      </c>
      <c r="X52" s="33"/>
      <c r="Y52" s="33"/>
      <c r="Z52" s="33"/>
      <c r="AA52" s="34" t="n">
        <f aca="false">SUM(K52:Z52)</f>
        <v>6823</v>
      </c>
      <c r="AB52" s="35" t="n">
        <f aca="false">SUM(AA52/H52)</f>
        <v>8528.75</v>
      </c>
      <c r="AC52" s="36" t="n">
        <f aca="false">AB52/$AB$2</f>
        <v>568.583333333333</v>
      </c>
    </row>
    <row r="53" customFormat="false" ht="19.5" hidden="false" customHeight="true" outlineLevel="0" collapsed="false">
      <c r="A53" s="53" t="s">
        <v>106</v>
      </c>
      <c r="B53" s="45" t="s">
        <v>78</v>
      </c>
      <c r="C53" s="25" t="n">
        <v>902</v>
      </c>
      <c r="D53" s="26" t="s">
        <v>107</v>
      </c>
      <c r="E53" s="27" t="s">
        <v>23</v>
      </c>
      <c r="F53" s="28" t="s">
        <v>20</v>
      </c>
      <c r="G53" s="29" t="s">
        <v>108</v>
      </c>
      <c r="H53" s="30" t="n">
        <v>3.1</v>
      </c>
      <c r="I53" s="31" t="s">
        <v>22</v>
      </c>
      <c r="J53" s="32" t="n">
        <v>45935</v>
      </c>
      <c r="K53" s="33"/>
      <c r="L53" s="33"/>
      <c r="M53" s="33"/>
      <c r="N53" s="33"/>
      <c r="O53" s="33" t="n">
        <v>5315</v>
      </c>
      <c r="P53" s="33"/>
      <c r="Q53" s="33" t="n">
        <v>5862</v>
      </c>
      <c r="R53" s="33"/>
      <c r="S53" s="33"/>
      <c r="T53" s="33"/>
      <c r="U53" s="33" t="n">
        <v>3182</v>
      </c>
      <c r="V53" s="33" t="n">
        <v>3362</v>
      </c>
      <c r="W53" s="33"/>
      <c r="X53" s="33" t="n">
        <v>4585</v>
      </c>
      <c r="Y53" s="33" t="n">
        <v>3108</v>
      </c>
      <c r="Z53" s="33"/>
      <c r="AA53" s="34" t="n">
        <f aca="false">SUM(K53:Z53)</f>
        <v>25414</v>
      </c>
      <c r="AB53" s="35" t="n">
        <f aca="false">SUM(AA53/H53)</f>
        <v>8198.06451612903</v>
      </c>
      <c r="AC53" s="36" t="n">
        <f aca="false">AB53/$AB$2</f>
        <v>546.537634408602</v>
      </c>
    </row>
    <row r="54" customFormat="false" ht="19.5" hidden="false" customHeight="true" outlineLevel="0" collapsed="false">
      <c r="A54" s="53" t="s">
        <v>106</v>
      </c>
      <c r="B54" s="45" t="s">
        <v>78</v>
      </c>
      <c r="C54" s="25" t="n">
        <v>901</v>
      </c>
      <c r="D54" s="26" t="s">
        <v>107</v>
      </c>
      <c r="E54" s="27" t="s">
        <v>32</v>
      </c>
      <c r="F54" s="28" t="s">
        <v>33</v>
      </c>
      <c r="G54" s="29" t="n">
        <v>2</v>
      </c>
      <c r="H54" s="30" t="n">
        <v>1</v>
      </c>
      <c r="I54" s="31" t="s">
        <v>22</v>
      </c>
      <c r="J54" s="32" t="n">
        <v>45955</v>
      </c>
      <c r="K54" s="33"/>
      <c r="L54" s="33" t="n">
        <v>6292</v>
      </c>
      <c r="M54" s="33"/>
      <c r="N54" s="33"/>
      <c r="O54" s="33"/>
      <c r="P54" s="33"/>
      <c r="Q54" s="33"/>
      <c r="R54" s="33"/>
      <c r="S54" s="33"/>
      <c r="T54" s="33"/>
      <c r="U54" s="33" t="n">
        <v>5668</v>
      </c>
      <c r="V54" s="33" t="n">
        <v>1586</v>
      </c>
      <c r="W54" s="33"/>
      <c r="X54" s="33"/>
      <c r="Y54" s="33" t="n">
        <v>4642</v>
      </c>
      <c r="Z54" s="33"/>
      <c r="AA54" s="34" t="n">
        <f aca="false">SUM(K54:Z54)</f>
        <v>18188</v>
      </c>
      <c r="AB54" s="35" t="n">
        <f aca="false">SUM(AA54/H54)</f>
        <v>18188</v>
      </c>
      <c r="AC54" s="36" t="n">
        <f aca="false">AB54/$AB$2</f>
        <v>1212.53333333333</v>
      </c>
    </row>
    <row r="55" customFormat="false" ht="19.5" hidden="false" customHeight="true" outlineLevel="0" collapsed="false">
      <c r="A55" s="53" t="s">
        <v>106</v>
      </c>
      <c r="B55" s="45" t="s">
        <v>78</v>
      </c>
      <c r="C55" s="25" t="n">
        <v>902</v>
      </c>
      <c r="D55" s="26" t="s">
        <v>107</v>
      </c>
      <c r="E55" s="27" t="s">
        <v>23</v>
      </c>
      <c r="F55" s="28" t="s">
        <v>20</v>
      </c>
      <c r="G55" s="29" t="n">
        <v>5</v>
      </c>
      <c r="H55" s="30" t="n">
        <v>0.9</v>
      </c>
      <c r="I55" s="31" t="s">
        <v>22</v>
      </c>
      <c r="J55" s="32" t="n">
        <v>45917</v>
      </c>
      <c r="K55" s="33"/>
      <c r="L55" s="33"/>
      <c r="M55" s="33"/>
      <c r="N55" s="33"/>
      <c r="O55" s="33" t="n">
        <v>3015</v>
      </c>
      <c r="P55" s="33"/>
      <c r="Q55" s="33"/>
      <c r="R55" s="33"/>
      <c r="S55" s="33"/>
      <c r="T55" s="33"/>
      <c r="U55" s="33" t="n">
        <v>3976</v>
      </c>
      <c r="V55" s="33"/>
      <c r="W55" s="33"/>
      <c r="X55" s="33" t="n">
        <v>2698</v>
      </c>
      <c r="Y55" s="33"/>
      <c r="Z55" s="33"/>
      <c r="AA55" s="34" t="n">
        <f aca="false">SUM(K55:Z55)</f>
        <v>9689</v>
      </c>
      <c r="AB55" s="35" t="n">
        <f aca="false">SUM(AA55/H55)</f>
        <v>10765.5555555556</v>
      </c>
      <c r="AC55" s="36" t="n">
        <f aca="false">AB55/$AB$2</f>
        <v>717.703703703704</v>
      </c>
    </row>
    <row r="56" customFormat="false" ht="19.5" hidden="false" customHeight="true" outlineLevel="0" collapsed="false">
      <c r="A56" s="53" t="s">
        <v>106</v>
      </c>
      <c r="B56" s="45" t="s">
        <v>78</v>
      </c>
      <c r="C56" s="25" t="n">
        <v>902</v>
      </c>
      <c r="D56" s="26" t="s">
        <v>107</v>
      </c>
      <c r="E56" s="27" t="s">
        <v>109</v>
      </c>
      <c r="F56" s="28" t="s">
        <v>20</v>
      </c>
      <c r="G56" s="29" t="s">
        <v>28</v>
      </c>
      <c r="H56" s="30" t="n">
        <v>1.5</v>
      </c>
      <c r="I56" s="31" t="s">
        <v>22</v>
      </c>
      <c r="J56" s="32" t="n">
        <v>45908</v>
      </c>
      <c r="K56" s="33"/>
      <c r="L56" s="33" t="n">
        <v>2932</v>
      </c>
      <c r="M56" s="33"/>
      <c r="N56" s="33"/>
      <c r="O56" s="33"/>
      <c r="P56" s="33" t="n">
        <v>3270</v>
      </c>
      <c r="Q56" s="33"/>
      <c r="R56" s="33"/>
      <c r="S56" s="33"/>
      <c r="T56" s="33" t="n">
        <v>2502</v>
      </c>
      <c r="U56" s="33"/>
      <c r="V56" s="33"/>
      <c r="W56" s="33"/>
      <c r="X56" s="33" t="n">
        <v>2237</v>
      </c>
      <c r="Y56" s="33"/>
      <c r="Z56" s="33"/>
      <c r="AA56" s="34" t="n">
        <f aca="false">SUM(K56:Z56)</f>
        <v>10941</v>
      </c>
      <c r="AB56" s="35" t="n">
        <f aca="false">SUM(AA56/H56)</f>
        <v>7294</v>
      </c>
      <c r="AC56" s="36" t="n">
        <f aca="false">AB56/$AB$2</f>
        <v>486.266666666667</v>
      </c>
    </row>
    <row r="57" customFormat="false" ht="19.5" hidden="false" customHeight="true" outlineLevel="0" collapsed="false">
      <c r="A57" s="46" t="s">
        <v>60</v>
      </c>
      <c r="B57" s="45" t="s">
        <v>78</v>
      </c>
      <c r="C57" s="25" t="n">
        <v>907</v>
      </c>
      <c r="D57" s="26" t="s">
        <v>110</v>
      </c>
      <c r="E57" s="27" t="s">
        <v>19</v>
      </c>
      <c r="F57" s="28" t="s">
        <v>20</v>
      </c>
      <c r="G57" s="29" t="s">
        <v>53</v>
      </c>
      <c r="H57" s="30" t="n">
        <v>3.5</v>
      </c>
      <c r="I57" s="54" t="s">
        <v>22</v>
      </c>
      <c r="J57" s="32" t="n">
        <v>45941</v>
      </c>
      <c r="K57" s="33"/>
      <c r="L57" s="33"/>
      <c r="M57" s="33"/>
      <c r="N57" s="33" t="n">
        <v>19436</v>
      </c>
      <c r="O57" s="33" t="n">
        <v>7026</v>
      </c>
      <c r="P57" s="33"/>
      <c r="Q57" s="33"/>
      <c r="R57" s="33"/>
      <c r="S57" s="33"/>
      <c r="T57" s="33"/>
      <c r="U57" s="33" t="n">
        <v>6088</v>
      </c>
      <c r="V57" s="33" t="n">
        <v>18283</v>
      </c>
      <c r="W57" s="33"/>
      <c r="X57" s="33"/>
      <c r="Y57" s="33"/>
      <c r="Z57" s="33"/>
      <c r="AA57" s="34" t="n">
        <f aca="false">SUM(K57:Z57)</f>
        <v>50833</v>
      </c>
      <c r="AB57" s="35" t="n">
        <f aca="false">SUM(AA57/H57)</f>
        <v>14523.7142857143</v>
      </c>
      <c r="AC57" s="36" t="n">
        <f aca="false">AB57/$AB$2</f>
        <v>968.247619047619</v>
      </c>
    </row>
    <row r="58" customFormat="false" ht="19.5" hidden="false" customHeight="true" outlineLevel="0" collapsed="false">
      <c r="A58" s="46" t="s">
        <v>60</v>
      </c>
      <c r="B58" s="45" t="s">
        <v>78</v>
      </c>
      <c r="C58" s="25" t="n">
        <v>907</v>
      </c>
      <c r="D58" s="26" t="s">
        <v>110</v>
      </c>
      <c r="E58" s="27" t="s">
        <v>32</v>
      </c>
      <c r="F58" s="28" t="s">
        <v>33</v>
      </c>
      <c r="G58" s="29" t="s">
        <v>111</v>
      </c>
      <c r="H58" s="30" t="n">
        <v>3</v>
      </c>
      <c r="I58" s="31" t="s">
        <v>22</v>
      </c>
      <c r="J58" s="32" t="n">
        <v>45959</v>
      </c>
      <c r="K58" s="33" t="n">
        <v>8336</v>
      </c>
      <c r="L58" s="33" t="n">
        <v>7553</v>
      </c>
      <c r="M58" s="33" t="n">
        <v>5434</v>
      </c>
      <c r="N58" s="33" t="n">
        <v>2711</v>
      </c>
      <c r="O58" s="33"/>
      <c r="P58" s="33"/>
      <c r="Q58" s="33"/>
      <c r="R58" s="33" t="n">
        <v>7701</v>
      </c>
      <c r="S58" s="33" t="n">
        <v>6297</v>
      </c>
      <c r="T58" s="33" t="n">
        <v>6406</v>
      </c>
      <c r="U58" s="33"/>
      <c r="V58" s="33"/>
      <c r="W58" s="33"/>
      <c r="X58" s="33" t="n">
        <v>7037</v>
      </c>
      <c r="Y58" s="33" t="n">
        <v>6130</v>
      </c>
      <c r="Z58" s="33"/>
      <c r="AA58" s="34" t="n">
        <f aca="false">SUM(K58:Z58)</f>
        <v>57605</v>
      </c>
      <c r="AB58" s="35" t="n">
        <f aca="false">SUM(AA58/H58)</f>
        <v>19201.6666666667</v>
      </c>
      <c r="AC58" s="36" t="n">
        <f aca="false">AB58/$AB$2</f>
        <v>1280.11111111111</v>
      </c>
    </row>
    <row r="59" customFormat="false" ht="19.5" hidden="true" customHeight="true" outlineLevel="0" collapsed="false">
      <c r="A59" s="46" t="s">
        <v>60</v>
      </c>
      <c r="B59" s="45" t="s">
        <v>78</v>
      </c>
      <c r="C59" s="25" t="n">
        <v>907</v>
      </c>
      <c r="D59" s="26" t="s">
        <v>110</v>
      </c>
      <c r="E59" s="27" t="s">
        <v>19</v>
      </c>
      <c r="F59" s="28" t="s">
        <v>33</v>
      </c>
      <c r="G59" s="29" t="n">
        <v>0</v>
      </c>
      <c r="H59" s="30" t="n">
        <v>1</v>
      </c>
      <c r="I59" s="31" t="s">
        <v>22</v>
      </c>
      <c r="J59" s="55" t="n">
        <v>45928</v>
      </c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4" t="n">
        <f aca="false">SUM(K59:Z59)</f>
        <v>0</v>
      </c>
      <c r="AB59" s="35" t="n">
        <f aca="false">SUM(AA59/H59)</f>
        <v>0</v>
      </c>
      <c r="AC59" s="36" t="n">
        <f aca="false">AB59/$AB$2</f>
        <v>0</v>
      </c>
    </row>
    <row r="60" customFormat="false" ht="19.5" hidden="false" customHeight="true" outlineLevel="0" collapsed="false">
      <c r="A60" s="46" t="s">
        <v>60</v>
      </c>
      <c r="B60" s="45" t="s">
        <v>78</v>
      </c>
      <c r="C60" s="25" t="n">
        <v>907</v>
      </c>
      <c r="D60" s="26" t="s">
        <v>110</v>
      </c>
      <c r="E60" s="27" t="s">
        <v>112</v>
      </c>
      <c r="F60" s="28" t="s">
        <v>33</v>
      </c>
      <c r="G60" s="29" t="n">
        <v>13</v>
      </c>
      <c r="H60" s="30" t="n">
        <v>1</v>
      </c>
      <c r="I60" s="31" t="s">
        <v>22</v>
      </c>
      <c r="J60" s="55" t="n">
        <v>45960</v>
      </c>
      <c r="K60" s="33"/>
      <c r="L60" s="33" t="n">
        <v>7343</v>
      </c>
      <c r="M60" s="33" t="n">
        <v>2634</v>
      </c>
      <c r="N60" s="33"/>
      <c r="O60" s="33"/>
      <c r="P60" s="33"/>
      <c r="Q60" s="33"/>
      <c r="R60" s="33"/>
      <c r="S60" s="33" t="n">
        <v>7915</v>
      </c>
      <c r="T60" s="33"/>
      <c r="U60" s="33"/>
      <c r="V60" s="33"/>
      <c r="W60" s="33"/>
      <c r="X60" s="33" t="n">
        <v>9394</v>
      </c>
      <c r="Y60" s="33"/>
      <c r="Z60" s="33"/>
      <c r="AA60" s="34" t="n">
        <f aca="false">SUM(K60:Z60)</f>
        <v>27286</v>
      </c>
      <c r="AB60" s="35" t="n">
        <f aca="false">SUM(AA60/H60)</f>
        <v>27286</v>
      </c>
      <c r="AC60" s="36" t="n">
        <f aca="false">AB60/$AB$2</f>
        <v>1819.06666666667</v>
      </c>
    </row>
    <row r="61" customFormat="false" ht="19.5" hidden="false" customHeight="true" outlineLevel="0" collapsed="false">
      <c r="A61" s="46" t="s">
        <v>60</v>
      </c>
      <c r="B61" s="45" t="s">
        <v>78</v>
      </c>
      <c r="C61" s="25" t="n">
        <v>907</v>
      </c>
      <c r="D61" s="26" t="s">
        <v>110</v>
      </c>
      <c r="E61" s="27" t="s">
        <v>32</v>
      </c>
      <c r="F61" s="28" t="s">
        <v>33</v>
      </c>
      <c r="G61" s="29" t="s">
        <v>89</v>
      </c>
      <c r="H61" s="30" t="n">
        <v>2.8</v>
      </c>
      <c r="I61" s="31" t="s">
        <v>22</v>
      </c>
      <c r="J61" s="32" t="n">
        <v>45928</v>
      </c>
      <c r="K61" s="33" t="n">
        <v>8720</v>
      </c>
      <c r="L61" s="33"/>
      <c r="M61" s="33"/>
      <c r="N61" s="33"/>
      <c r="O61" s="33"/>
      <c r="P61" s="33" t="n">
        <v>6434</v>
      </c>
      <c r="Q61" s="33" t="n">
        <v>6616</v>
      </c>
      <c r="R61" s="33" t="n">
        <v>4851</v>
      </c>
      <c r="S61" s="33"/>
      <c r="T61" s="33"/>
      <c r="U61" s="33"/>
      <c r="V61" s="33" t="n">
        <v>2984</v>
      </c>
      <c r="W61" s="33" t="n">
        <v>9866</v>
      </c>
      <c r="X61" s="33" t="n">
        <v>3236</v>
      </c>
      <c r="Y61" s="33"/>
      <c r="Z61" s="33"/>
      <c r="AA61" s="34" t="n">
        <f aca="false">SUM(K61:Z61)</f>
        <v>42707</v>
      </c>
      <c r="AB61" s="35" t="n">
        <f aca="false">SUM(AA61/H61)</f>
        <v>15252.5</v>
      </c>
      <c r="AC61" s="36" t="n">
        <f aca="false">AB61/$AB$2</f>
        <v>1016.83333333333</v>
      </c>
    </row>
    <row r="62" customFormat="false" ht="19.5" hidden="false" customHeight="true" outlineLevel="0" collapsed="false">
      <c r="A62" s="42" t="s">
        <v>46</v>
      </c>
      <c r="B62" s="45" t="s">
        <v>30</v>
      </c>
      <c r="C62" s="25" t="n">
        <v>304</v>
      </c>
      <c r="D62" s="26" t="s">
        <v>113</v>
      </c>
      <c r="E62" s="27" t="s">
        <v>32</v>
      </c>
      <c r="F62" s="28" t="s">
        <v>33</v>
      </c>
      <c r="G62" s="29" t="n">
        <v>7</v>
      </c>
      <c r="H62" s="30" t="n">
        <v>1.2</v>
      </c>
      <c r="I62" s="41" t="s">
        <v>40</v>
      </c>
      <c r="J62" s="32" t="n">
        <v>46066</v>
      </c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 t="n">
        <v>394</v>
      </c>
      <c r="Z62" s="33"/>
      <c r="AA62" s="34" t="n">
        <f aca="false">SUM(K62:Z62)</f>
        <v>394</v>
      </c>
      <c r="AB62" s="35" t="n">
        <f aca="false">SUM(AA62/H62)</f>
        <v>328.333333333333</v>
      </c>
      <c r="AC62" s="36" t="n">
        <f aca="false">AB62/$AB$2</f>
        <v>21.8888888888889</v>
      </c>
    </row>
    <row r="63" customFormat="false" ht="19.5" hidden="true" customHeight="true" outlineLevel="0" collapsed="false">
      <c r="A63" s="42" t="s">
        <v>46</v>
      </c>
      <c r="B63" s="45" t="s">
        <v>30</v>
      </c>
      <c r="C63" s="25" t="n">
        <v>304</v>
      </c>
      <c r="D63" s="26" t="s">
        <v>113</v>
      </c>
      <c r="E63" s="27" t="s">
        <v>114</v>
      </c>
      <c r="F63" s="28" t="s">
        <v>49</v>
      </c>
      <c r="G63" s="29" t="n">
        <v>4</v>
      </c>
      <c r="H63" s="30" t="n">
        <v>1.1</v>
      </c>
      <c r="I63" s="41" t="s">
        <v>34</v>
      </c>
      <c r="J63" s="32" t="n">
        <v>45788</v>
      </c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4" t="n">
        <f aca="false">SUM(K63:Z63)</f>
        <v>0</v>
      </c>
      <c r="AB63" s="35" t="n">
        <f aca="false">SUM(AA63/H63)</f>
        <v>0</v>
      </c>
      <c r="AC63" s="36" t="n">
        <f aca="false">AB63/$AB$2</f>
        <v>0</v>
      </c>
    </row>
    <row r="64" customFormat="false" ht="19.5" hidden="true" customHeight="true" outlineLevel="0" collapsed="false">
      <c r="A64" s="42" t="s">
        <v>46</v>
      </c>
      <c r="B64" s="45" t="s">
        <v>30</v>
      </c>
      <c r="C64" s="25" t="n">
        <v>304</v>
      </c>
      <c r="D64" s="26" t="s">
        <v>113</v>
      </c>
      <c r="E64" s="27" t="s">
        <v>32</v>
      </c>
      <c r="F64" s="28" t="s">
        <v>33</v>
      </c>
      <c r="G64" s="29" t="n">
        <v>1</v>
      </c>
      <c r="H64" s="30" t="n">
        <v>0.8</v>
      </c>
      <c r="I64" s="41" t="s">
        <v>34</v>
      </c>
      <c r="J64" s="32" t="n">
        <v>45731</v>
      </c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4" t="n">
        <f aca="false">SUM(K64:Z64)</f>
        <v>0</v>
      </c>
      <c r="AB64" s="35" t="n">
        <f aca="false">SUM(AA64/H64)</f>
        <v>0</v>
      </c>
      <c r="AC64" s="36" t="n">
        <f aca="false">AB64/$AB$2</f>
        <v>0</v>
      </c>
    </row>
    <row r="65" customFormat="false" ht="19.5" hidden="true" customHeight="true" outlineLevel="0" collapsed="false">
      <c r="A65" s="42" t="s">
        <v>46</v>
      </c>
      <c r="B65" s="45" t="s">
        <v>30</v>
      </c>
      <c r="C65" s="25" t="n">
        <v>304</v>
      </c>
      <c r="D65" s="26" t="s">
        <v>113</v>
      </c>
      <c r="E65" s="27" t="s">
        <v>115</v>
      </c>
      <c r="F65" s="28" t="s">
        <v>49</v>
      </c>
      <c r="G65" s="29" t="n">
        <v>3</v>
      </c>
      <c r="H65" s="30" t="n">
        <v>1</v>
      </c>
      <c r="I65" s="41" t="s">
        <v>34</v>
      </c>
      <c r="J65" s="32" t="n">
        <v>45790</v>
      </c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4" t="n">
        <f aca="false">SUM(K65:Z65)</f>
        <v>0</v>
      </c>
      <c r="AB65" s="35" t="n">
        <f aca="false">SUM(AA65/H65)</f>
        <v>0</v>
      </c>
      <c r="AC65" s="36" t="n">
        <f aca="false">AB65/$AB$2</f>
        <v>0</v>
      </c>
    </row>
    <row r="66" customFormat="false" ht="19.5" hidden="true" customHeight="true" outlineLevel="0" collapsed="false">
      <c r="A66" s="42" t="s">
        <v>46</v>
      </c>
      <c r="B66" s="45" t="s">
        <v>30</v>
      </c>
      <c r="C66" s="25" t="n">
        <v>304</v>
      </c>
      <c r="D66" s="26" t="s">
        <v>113</v>
      </c>
      <c r="E66" s="27" t="s">
        <v>116</v>
      </c>
      <c r="F66" s="28" t="s">
        <v>49</v>
      </c>
      <c r="G66" s="29" t="n">
        <v>2</v>
      </c>
      <c r="H66" s="30" t="n">
        <v>0.75</v>
      </c>
      <c r="I66" s="41" t="s">
        <v>34</v>
      </c>
      <c r="J66" s="32" t="n">
        <v>45399</v>
      </c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4" t="n">
        <f aca="false">SUM(K66:Z66)</f>
        <v>0</v>
      </c>
      <c r="AB66" s="35" t="n">
        <f aca="false">SUM(AA66/H66)</f>
        <v>0</v>
      </c>
      <c r="AC66" s="36" t="n">
        <f aca="false">AB66/$AB$2</f>
        <v>0</v>
      </c>
    </row>
    <row r="67" customFormat="false" ht="19.5" hidden="true" customHeight="true" outlineLevel="0" collapsed="false">
      <c r="A67" s="42" t="s">
        <v>46</v>
      </c>
      <c r="B67" s="45" t="s">
        <v>30</v>
      </c>
      <c r="C67" s="25" t="n">
        <v>304</v>
      </c>
      <c r="D67" s="26" t="s">
        <v>113</v>
      </c>
      <c r="E67" s="27" t="s">
        <v>55</v>
      </c>
      <c r="F67" s="28" t="s">
        <v>33</v>
      </c>
      <c r="G67" s="56" t="s">
        <v>117</v>
      </c>
      <c r="H67" s="30" t="n">
        <v>1.5</v>
      </c>
      <c r="I67" s="41" t="s">
        <v>34</v>
      </c>
      <c r="J67" s="32" t="n">
        <v>45744</v>
      </c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4" t="n">
        <f aca="false">SUM(K67:Z67)</f>
        <v>0</v>
      </c>
      <c r="AB67" s="35" t="n">
        <f aca="false">SUM(AA67/H67)</f>
        <v>0</v>
      </c>
      <c r="AC67" s="36" t="n">
        <f aca="false">AB67/$AB$2</f>
        <v>0</v>
      </c>
    </row>
    <row r="68" customFormat="false" ht="19.5" hidden="false" customHeight="true" outlineLevel="0" collapsed="false">
      <c r="A68" s="39" t="s">
        <v>29</v>
      </c>
      <c r="B68" s="45" t="s">
        <v>30</v>
      </c>
      <c r="C68" s="25" t="n">
        <v>501</v>
      </c>
      <c r="D68" s="26" t="s">
        <v>118</v>
      </c>
      <c r="E68" s="27" t="s">
        <v>32</v>
      </c>
      <c r="F68" s="28" t="s">
        <v>33</v>
      </c>
      <c r="G68" s="29" t="s">
        <v>63</v>
      </c>
      <c r="H68" s="30" t="n">
        <v>1.72</v>
      </c>
      <c r="I68" s="31" t="s">
        <v>22</v>
      </c>
      <c r="J68" s="32" t="n">
        <v>45862</v>
      </c>
      <c r="K68" s="33" t="n">
        <v>1752</v>
      </c>
      <c r="L68" s="33" t="n">
        <v>2598</v>
      </c>
      <c r="M68" s="33"/>
      <c r="N68" s="33"/>
      <c r="O68" s="33"/>
      <c r="P68" s="33"/>
      <c r="Q68" s="33" t="n">
        <v>1096</v>
      </c>
      <c r="R68" s="33" t="n">
        <v>2498</v>
      </c>
      <c r="S68" s="33"/>
      <c r="T68" s="33"/>
      <c r="U68" s="33" t="n">
        <v>1968</v>
      </c>
      <c r="V68" s="33" t="n">
        <v>196</v>
      </c>
      <c r="W68" s="33"/>
      <c r="X68" s="33"/>
      <c r="Y68" s="33"/>
      <c r="Z68" s="33"/>
      <c r="AA68" s="34" t="n">
        <f aca="false">SUM(K68:Z68)</f>
        <v>10108</v>
      </c>
      <c r="AB68" s="35" t="n">
        <f aca="false">SUM(AA68/H68)</f>
        <v>5876.74418604651</v>
      </c>
      <c r="AC68" s="36" t="n">
        <f aca="false">AB68/$AB$2</f>
        <v>391.782945736434</v>
      </c>
    </row>
    <row r="69" customFormat="false" ht="19.5" hidden="false" customHeight="true" outlineLevel="0" collapsed="false">
      <c r="A69" s="39" t="s">
        <v>29</v>
      </c>
      <c r="B69" s="45" t="s">
        <v>30</v>
      </c>
      <c r="C69" s="25" t="n">
        <v>501</v>
      </c>
      <c r="D69" s="26" t="s">
        <v>118</v>
      </c>
      <c r="E69" s="27" t="s">
        <v>38</v>
      </c>
      <c r="F69" s="28" t="s">
        <v>20</v>
      </c>
      <c r="G69" s="29" t="s">
        <v>99</v>
      </c>
      <c r="H69" s="30" t="n">
        <v>1.86</v>
      </c>
      <c r="I69" s="31" t="s">
        <v>22</v>
      </c>
      <c r="J69" s="32" t="n">
        <v>45875</v>
      </c>
      <c r="K69" s="33"/>
      <c r="L69" s="33"/>
      <c r="M69" s="33"/>
      <c r="N69" s="33" t="n">
        <v>1021</v>
      </c>
      <c r="O69" s="33" t="n">
        <v>1097</v>
      </c>
      <c r="P69" s="33" t="n">
        <v>2074</v>
      </c>
      <c r="Q69" s="33" t="n">
        <v>1858</v>
      </c>
      <c r="R69" s="33"/>
      <c r="S69" s="33"/>
      <c r="T69" s="33"/>
      <c r="U69" s="33"/>
      <c r="V69" s="33"/>
      <c r="W69" s="33"/>
      <c r="X69" s="33" t="n">
        <v>3172</v>
      </c>
      <c r="Y69" s="33" t="n">
        <v>2792</v>
      </c>
      <c r="Z69" s="33"/>
      <c r="AA69" s="34" t="n">
        <f aca="false">SUM(K69:Z69)</f>
        <v>12014</v>
      </c>
      <c r="AB69" s="35" t="n">
        <f aca="false">SUM(AA69/H69)</f>
        <v>6459.13978494624</v>
      </c>
      <c r="AC69" s="36" t="n">
        <f aca="false">AB69/$AB$2</f>
        <v>430.609318996416</v>
      </c>
    </row>
    <row r="70" customFormat="false" ht="19.5" hidden="false" customHeight="true" outlineLevel="0" collapsed="false">
      <c r="A70" s="39" t="s">
        <v>29</v>
      </c>
      <c r="B70" s="45" t="s">
        <v>30</v>
      </c>
      <c r="C70" s="25" t="n">
        <v>501</v>
      </c>
      <c r="D70" s="26" t="s">
        <v>118</v>
      </c>
      <c r="E70" s="27" t="s">
        <v>74</v>
      </c>
      <c r="F70" s="28" t="s">
        <v>20</v>
      </c>
      <c r="G70" s="29" t="n">
        <v>11</v>
      </c>
      <c r="H70" s="30" t="n">
        <v>1.1</v>
      </c>
      <c r="I70" s="31" t="s">
        <v>22</v>
      </c>
      <c r="J70" s="32" t="n">
        <v>45886</v>
      </c>
      <c r="K70" s="33"/>
      <c r="L70" s="33"/>
      <c r="M70" s="33" t="n">
        <v>2898</v>
      </c>
      <c r="N70" s="33"/>
      <c r="O70" s="33" t="n">
        <v>1401</v>
      </c>
      <c r="P70" s="33" t="n">
        <v>650</v>
      </c>
      <c r="Q70" s="33"/>
      <c r="R70" s="33"/>
      <c r="S70" s="33" t="n">
        <v>1236</v>
      </c>
      <c r="T70" s="33"/>
      <c r="U70" s="33" t="n">
        <v>642</v>
      </c>
      <c r="V70" s="33" t="n">
        <v>379</v>
      </c>
      <c r="W70" s="33"/>
      <c r="X70" s="33"/>
      <c r="Y70" s="33"/>
      <c r="Z70" s="33"/>
      <c r="AA70" s="34" t="n">
        <f aca="false">SUM(K70:Z70)</f>
        <v>7206</v>
      </c>
      <c r="AB70" s="35" t="n">
        <f aca="false">SUM(AA70/H70)</f>
        <v>6550.90909090909</v>
      </c>
      <c r="AC70" s="36" t="n">
        <f aca="false">AB70/$AB$2</f>
        <v>436.727272727273</v>
      </c>
    </row>
    <row r="71" customFormat="false" ht="19.5" hidden="false" customHeight="true" outlineLevel="0" collapsed="false">
      <c r="A71" s="44" t="s">
        <v>57</v>
      </c>
      <c r="B71" s="45" t="s">
        <v>58</v>
      </c>
      <c r="C71" s="25" t="n">
        <v>601</v>
      </c>
      <c r="D71" s="26" t="s">
        <v>119</v>
      </c>
      <c r="E71" s="27" t="s">
        <v>32</v>
      </c>
      <c r="F71" s="28" t="s">
        <v>33</v>
      </c>
      <c r="G71" s="29" t="s">
        <v>120</v>
      </c>
      <c r="H71" s="30" t="n">
        <v>3.25</v>
      </c>
      <c r="I71" s="31" t="s">
        <v>22</v>
      </c>
      <c r="J71" s="32" t="n">
        <v>45839</v>
      </c>
      <c r="K71" s="33" t="n">
        <v>1848</v>
      </c>
      <c r="L71" s="33"/>
      <c r="M71" s="33"/>
      <c r="N71" s="33"/>
      <c r="O71" s="33" t="n">
        <v>4470</v>
      </c>
      <c r="P71" s="33" t="n">
        <v>1790</v>
      </c>
      <c r="Q71" s="33"/>
      <c r="R71" s="33"/>
      <c r="S71" s="33" t="n">
        <v>3482</v>
      </c>
      <c r="T71" s="33" t="n">
        <v>1952</v>
      </c>
      <c r="U71" s="33"/>
      <c r="V71" s="33"/>
      <c r="W71" s="33"/>
      <c r="X71" s="33" t="n">
        <v>3795</v>
      </c>
      <c r="Y71" s="33"/>
      <c r="Z71" s="33"/>
      <c r="AA71" s="34" t="n">
        <f aca="false">SUM(K71:Z71)</f>
        <v>17337</v>
      </c>
      <c r="AB71" s="35" t="n">
        <f aca="false">SUM(AA71/H71)</f>
        <v>5334.46153846154</v>
      </c>
      <c r="AC71" s="36" t="n">
        <f aca="false">AB71/$AB$2</f>
        <v>355.630769230769</v>
      </c>
    </row>
    <row r="72" customFormat="false" ht="19.5" hidden="false" customHeight="true" outlineLevel="0" collapsed="false">
      <c r="A72" s="44" t="s">
        <v>57</v>
      </c>
      <c r="B72" s="45" t="s">
        <v>58</v>
      </c>
      <c r="C72" s="25" t="n">
        <v>601</v>
      </c>
      <c r="D72" s="26" t="s">
        <v>119</v>
      </c>
      <c r="E72" s="27" t="s">
        <v>23</v>
      </c>
      <c r="F72" s="28" t="s">
        <v>20</v>
      </c>
      <c r="G72" s="29" t="s">
        <v>36</v>
      </c>
      <c r="H72" s="30" t="n">
        <v>2.25</v>
      </c>
      <c r="I72" s="31" t="s">
        <v>22</v>
      </c>
      <c r="J72" s="32" t="n">
        <v>45862</v>
      </c>
      <c r="K72" s="33" t="n">
        <v>930</v>
      </c>
      <c r="L72" s="33"/>
      <c r="M72" s="33" t="n">
        <v>1910</v>
      </c>
      <c r="N72" s="33"/>
      <c r="O72" s="33"/>
      <c r="P72" s="33"/>
      <c r="Q72" s="33" t="n">
        <v>1948</v>
      </c>
      <c r="R72" s="33"/>
      <c r="S72" s="33"/>
      <c r="T72" s="33" t="n">
        <v>1099</v>
      </c>
      <c r="U72" s="33"/>
      <c r="V72" s="33" t="n">
        <v>1832</v>
      </c>
      <c r="W72" s="33"/>
      <c r="X72" s="33"/>
      <c r="Y72" s="33"/>
      <c r="Z72" s="33"/>
      <c r="AA72" s="34" t="n">
        <f aca="false">SUM(K72:Z72)</f>
        <v>7719</v>
      </c>
      <c r="AB72" s="35" t="n">
        <f aca="false">SUM(AA72/H72)</f>
        <v>3430.66666666667</v>
      </c>
      <c r="AC72" s="36" t="n">
        <f aca="false">AB72/$AB$2</f>
        <v>228.711111111111</v>
      </c>
    </row>
    <row r="73" customFormat="false" ht="19.5" hidden="false" customHeight="true" outlineLevel="0" collapsed="false">
      <c r="A73" s="44" t="s">
        <v>57</v>
      </c>
      <c r="B73" s="45" t="s">
        <v>58</v>
      </c>
      <c r="C73" s="25" t="n">
        <v>601</v>
      </c>
      <c r="D73" s="26" t="s">
        <v>119</v>
      </c>
      <c r="E73" s="27" t="s">
        <v>19</v>
      </c>
      <c r="F73" s="28" t="s">
        <v>20</v>
      </c>
      <c r="G73" s="29" t="n">
        <v>13</v>
      </c>
      <c r="H73" s="30" t="n">
        <v>1</v>
      </c>
      <c r="I73" s="31" t="s">
        <v>22</v>
      </c>
      <c r="J73" s="32" t="n">
        <v>45886</v>
      </c>
      <c r="K73" s="33"/>
      <c r="L73" s="33" t="n">
        <v>2704</v>
      </c>
      <c r="M73" s="33"/>
      <c r="N73" s="33"/>
      <c r="O73" s="33"/>
      <c r="P73" s="33" t="n">
        <v>2318</v>
      </c>
      <c r="Q73" s="33"/>
      <c r="R73" s="33"/>
      <c r="S73" s="33"/>
      <c r="T73" s="33" t="n">
        <v>682</v>
      </c>
      <c r="U73" s="33" t="n">
        <v>1990</v>
      </c>
      <c r="V73" s="33"/>
      <c r="W73" s="33"/>
      <c r="X73" s="33"/>
      <c r="Y73" s="33" t="n">
        <v>2218</v>
      </c>
      <c r="Z73" s="33"/>
      <c r="AA73" s="34" t="n">
        <f aca="false">SUM(K73:Z73)</f>
        <v>9912</v>
      </c>
      <c r="AB73" s="35" t="n">
        <f aca="false">SUM(AA73/H73)</f>
        <v>9912</v>
      </c>
      <c r="AC73" s="36" t="n">
        <f aca="false">AB73/$AB$2</f>
        <v>660.8</v>
      </c>
    </row>
    <row r="74" customFormat="false" ht="19.5" hidden="false" customHeight="true" outlineLevel="0" collapsed="false">
      <c r="A74" s="23" t="s">
        <v>16</v>
      </c>
      <c r="B74" s="45" t="s">
        <v>17</v>
      </c>
      <c r="C74" s="25" t="n">
        <v>702</v>
      </c>
      <c r="D74" s="26" t="s">
        <v>121</v>
      </c>
      <c r="E74" s="27" t="s">
        <v>93</v>
      </c>
      <c r="F74" s="28" t="s">
        <v>20</v>
      </c>
      <c r="G74" s="29" t="s">
        <v>122</v>
      </c>
      <c r="H74" s="30" t="n">
        <v>2</v>
      </c>
      <c r="I74" s="41" t="s">
        <v>34</v>
      </c>
      <c r="J74" s="32" t="n">
        <v>45773</v>
      </c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 t="n">
        <v>1008</v>
      </c>
      <c r="V74" s="33"/>
      <c r="W74" s="33"/>
      <c r="X74" s="33"/>
      <c r="Y74" s="33"/>
      <c r="Z74" s="33"/>
      <c r="AA74" s="34" t="n">
        <f aca="false">SUM(K74:Z74)</f>
        <v>1008</v>
      </c>
      <c r="AB74" s="35" t="n">
        <f aca="false">SUM(AA74/H74)</f>
        <v>504</v>
      </c>
      <c r="AC74" s="36" t="n">
        <f aca="false">AB74/$AB$2</f>
        <v>33.6</v>
      </c>
    </row>
    <row r="75" customFormat="false" ht="19.5" hidden="false" customHeight="true" outlineLevel="0" collapsed="false">
      <c r="A75" s="23" t="s">
        <v>16</v>
      </c>
      <c r="B75" s="45" t="s">
        <v>17</v>
      </c>
      <c r="C75" s="25" t="n">
        <v>702</v>
      </c>
      <c r="D75" s="26" t="s">
        <v>121</v>
      </c>
      <c r="E75" s="27" t="s">
        <v>48</v>
      </c>
      <c r="F75" s="28" t="s">
        <v>49</v>
      </c>
      <c r="G75" s="29" t="s">
        <v>39</v>
      </c>
      <c r="H75" s="30" t="n">
        <v>2.15</v>
      </c>
      <c r="I75" s="31" t="s">
        <v>22</v>
      </c>
      <c r="J75" s="32" t="n">
        <v>45914</v>
      </c>
      <c r="K75" s="33" t="n">
        <v>5033</v>
      </c>
      <c r="L75" s="33"/>
      <c r="M75" s="33" t="n">
        <v>5592</v>
      </c>
      <c r="N75" s="33"/>
      <c r="O75" s="33"/>
      <c r="P75" s="33"/>
      <c r="Q75" s="33" t="n">
        <v>7801</v>
      </c>
      <c r="R75" s="33"/>
      <c r="S75" s="33"/>
      <c r="T75" s="33"/>
      <c r="U75" s="33" t="n">
        <v>8936</v>
      </c>
      <c r="V75" s="33"/>
      <c r="W75" s="33"/>
      <c r="X75" s="33" t="n">
        <v>5912</v>
      </c>
      <c r="Y75" s="33"/>
      <c r="Z75" s="33"/>
      <c r="AA75" s="34" t="n">
        <f aca="false">SUM(K75:Z75)</f>
        <v>33274</v>
      </c>
      <c r="AB75" s="35" t="n">
        <f aca="false">SUM(AA75/H75)</f>
        <v>15476.2790697674</v>
      </c>
      <c r="AC75" s="36" t="n">
        <f aca="false">AB75/$AB$2</f>
        <v>1031.7519379845</v>
      </c>
    </row>
    <row r="76" customFormat="false" ht="19.5" hidden="true" customHeight="true" outlineLevel="0" collapsed="false">
      <c r="A76" s="23" t="s">
        <v>16</v>
      </c>
      <c r="B76" s="45" t="s">
        <v>17</v>
      </c>
      <c r="C76" s="25" t="n">
        <v>702</v>
      </c>
      <c r="D76" s="26" t="s">
        <v>121</v>
      </c>
      <c r="E76" s="27" t="s">
        <v>55</v>
      </c>
      <c r="F76" s="28" t="s">
        <v>33</v>
      </c>
      <c r="G76" s="29" t="s">
        <v>45</v>
      </c>
      <c r="H76" s="30" t="n">
        <v>1.85</v>
      </c>
      <c r="I76" s="41" t="s">
        <v>34</v>
      </c>
      <c r="J76" s="32" t="n">
        <v>45773</v>
      </c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4" t="n">
        <f aca="false">SUM(K76:Z76)</f>
        <v>0</v>
      </c>
      <c r="AB76" s="35" t="n">
        <f aca="false">SUM(AA76/H76)</f>
        <v>0</v>
      </c>
      <c r="AC76" s="36" t="n">
        <f aca="false">AB76/$AB$2</f>
        <v>0</v>
      </c>
    </row>
    <row r="77" customFormat="false" ht="19.5" hidden="true" customHeight="true" outlineLevel="0" collapsed="false">
      <c r="A77" s="23" t="s">
        <v>16</v>
      </c>
      <c r="B77" s="45" t="s">
        <v>17</v>
      </c>
      <c r="C77" s="25" t="n">
        <v>702</v>
      </c>
      <c r="D77" s="57" t="s">
        <v>121</v>
      </c>
      <c r="E77" s="58" t="s">
        <v>93</v>
      </c>
      <c r="F77" s="59" t="s">
        <v>20</v>
      </c>
      <c r="G77" s="60" t="s">
        <v>123</v>
      </c>
      <c r="H77" s="61" t="n">
        <v>2</v>
      </c>
      <c r="I77" s="62" t="s">
        <v>34</v>
      </c>
      <c r="J77" s="63" t="n">
        <v>45752</v>
      </c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34" t="n">
        <f aca="false">SUM(K77:Z77)</f>
        <v>0</v>
      </c>
      <c r="AB77" s="35" t="n">
        <f aca="false">SUM(AA77/H77)</f>
        <v>0</v>
      </c>
      <c r="AC77" s="36" t="n">
        <f aca="false">AB77/$AB$2</f>
        <v>0</v>
      </c>
    </row>
    <row r="78" customFormat="false" ht="19.5" hidden="false" customHeight="true" outlineLevel="0" collapsed="false">
      <c r="A78" s="50" t="s">
        <v>83</v>
      </c>
      <c r="B78" s="45" t="s">
        <v>84</v>
      </c>
      <c r="C78" s="25" t="n">
        <v>201</v>
      </c>
      <c r="D78" s="26" t="s">
        <v>124</v>
      </c>
      <c r="E78" s="27" t="s">
        <v>112</v>
      </c>
      <c r="F78" s="28" t="s">
        <v>33</v>
      </c>
      <c r="G78" s="29" t="s">
        <v>123</v>
      </c>
      <c r="H78" s="30" t="n">
        <v>1.95</v>
      </c>
      <c r="I78" s="31" t="s">
        <v>22</v>
      </c>
      <c r="J78" s="32" t="n">
        <v>45875</v>
      </c>
      <c r="K78" s="33" t="n">
        <v>2292</v>
      </c>
      <c r="L78" s="33" t="n">
        <v>2565</v>
      </c>
      <c r="M78" s="33"/>
      <c r="N78" s="33"/>
      <c r="O78" s="33"/>
      <c r="P78" s="33" t="n">
        <v>1957</v>
      </c>
      <c r="Q78" s="33" t="n">
        <v>2626</v>
      </c>
      <c r="R78" s="33"/>
      <c r="S78" s="33"/>
      <c r="T78" s="33"/>
      <c r="U78" s="33"/>
      <c r="V78" s="33" t="n">
        <v>2884</v>
      </c>
      <c r="W78" s="33" t="n">
        <v>3435</v>
      </c>
      <c r="X78" s="33"/>
      <c r="Y78" s="33"/>
      <c r="Z78" s="33"/>
      <c r="AA78" s="34" t="n">
        <f aca="false">SUM(K78:Z78)</f>
        <v>15759</v>
      </c>
      <c r="AB78" s="35" t="n">
        <f aca="false">SUM(AA78/H78)</f>
        <v>8081.53846153846</v>
      </c>
      <c r="AC78" s="36" t="n">
        <f aca="false">AB78/$AB$2</f>
        <v>538.769230769231</v>
      </c>
    </row>
    <row r="79" customFormat="false" ht="19.5" hidden="false" customHeight="true" outlineLevel="0" collapsed="false">
      <c r="A79" s="24" t="s">
        <v>42</v>
      </c>
      <c r="B79" s="45" t="s">
        <v>43</v>
      </c>
      <c r="C79" s="25" t="n">
        <v>103</v>
      </c>
      <c r="D79" s="26" t="s">
        <v>125</v>
      </c>
      <c r="E79" s="27" t="s">
        <v>19</v>
      </c>
      <c r="F79" s="28" t="s">
        <v>20</v>
      </c>
      <c r="G79" s="29" t="n">
        <v>11</v>
      </c>
      <c r="H79" s="30" t="n">
        <v>0.82</v>
      </c>
      <c r="I79" s="41" t="s">
        <v>34</v>
      </c>
      <c r="J79" s="32" t="n">
        <v>45820</v>
      </c>
      <c r="K79" s="33"/>
      <c r="L79" s="33"/>
      <c r="M79" s="33" t="n">
        <v>975</v>
      </c>
      <c r="N79" s="33"/>
      <c r="O79" s="33"/>
      <c r="P79" s="33"/>
      <c r="Q79" s="33" t="n">
        <v>685</v>
      </c>
      <c r="R79" s="33"/>
      <c r="S79" s="33"/>
      <c r="T79" s="33"/>
      <c r="U79" s="33"/>
      <c r="V79" s="33" t="n">
        <v>1595</v>
      </c>
      <c r="W79" s="33"/>
      <c r="X79" s="33"/>
      <c r="Y79" s="33" t="n">
        <v>918</v>
      </c>
      <c r="Z79" s="33"/>
      <c r="AA79" s="34" t="n">
        <f aca="false">SUM(K79:Z79)</f>
        <v>4173</v>
      </c>
      <c r="AB79" s="35" t="n">
        <f aca="false">SUM(AA79/H79)</f>
        <v>5089.0243902439</v>
      </c>
      <c r="AC79" s="36" t="n">
        <f aca="false">AB79/$AB$2</f>
        <v>339.268292682927</v>
      </c>
    </row>
    <row r="80" customFormat="false" ht="19.5" hidden="true" customHeight="true" outlineLevel="0" collapsed="false">
      <c r="A80" s="39" t="s">
        <v>29</v>
      </c>
      <c r="B80" s="45" t="s">
        <v>26</v>
      </c>
      <c r="C80" s="25" t="n">
        <v>404</v>
      </c>
      <c r="D80" s="26" t="s">
        <v>126</v>
      </c>
      <c r="E80" s="27" t="s">
        <v>112</v>
      </c>
      <c r="F80" s="28" t="s">
        <v>33</v>
      </c>
      <c r="G80" s="29" t="s">
        <v>45</v>
      </c>
      <c r="H80" s="30" t="n">
        <v>2.2</v>
      </c>
      <c r="I80" s="31" t="s">
        <v>22</v>
      </c>
      <c r="J80" s="32" t="n">
        <v>45843</v>
      </c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4" t="n">
        <f aca="false">SUM(K80:Z80)</f>
        <v>0</v>
      </c>
      <c r="AB80" s="35" t="n">
        <f aca="false">SUM(AA80/H80)</f>
        <v>0</v>
      </c>
      <c r="AC80" s="36" t="n">
        <f aca="false">AB80/$AB$2</f>
        <v>0</v>
      </c>
    </row>
    <row r="81" customFormat="false" ht="19.5" hidden="false" customHeight="true" outlineLevel="0" collapsed="false">
      <c r="A81" s="50" t="s">
        <v>83</v>
      </c>
      <c r="B81" s="45" t="s">
        <v>84</v>
      </c>
      <c r="C81" s="25" t="n">
        <v>201</v>
      </c>
      <c r="D81" s="26" t="s">
        <v>124</v>
      </c>
      <c r="E81" s="27" t="s">
        <v>48</v>
      </c>
      <c r="F81" s="28" t="s">
        <v>49</v>
      </c>
      <c r="G81" s="29" t="n">
        <v>22</v>
      </c>
      <c r="H81" s="30" t="n">
        <v>1.8</v>
      </c>
      <c r="I81" s="31" t="s">
        <v>22</v>
      </c>
      <c r="J81" s="32" t="n">
        <v>45883</v>
      </c>
      <c r="K81" s="33" t="n">
        <v>5214</v>
      </c>
      <c r="L81" s="33"/>
      <c r="M81" s="33"/>
      <c r="N81" s="33" t="n">
        <v>3365</v>
      </c>
      <c r="O81" s="33" t="n">
        <v>445</v>
      </c>
      <c r="P81" s="33"/>
      <c r="Q81" s="33"/>
      <c r="R81" s="33" t="n">
        <v>1383</v>
      </c>
      <c r="S81" s="33" t="n">
        <v>3060</v>
      </c>
      <c r="T81" s="33"/>
      <c r="U81" s="33"/>
      <c r="V81" s="33" t="n">
        <v>421</v>
      </c>
      <c r="W81" s="33"/>
      <c r="X81" s="33"/>
      <c r="Y81" s="33" t="n">
        <v>6964</v>
      </c>
      <c r="Z81" s="33"/>
      <c r="AA81" s="34" t="n">
        <f aca="false">SUM(K81:Z81)</f>
        <v>20852</v>
      </c>
      <c r="AB81" s="35" t="n">
        <f aca="false">SUM(AA81/H81)</f>
        <v>11584.4444444444</v>
      </c>
      <c r="AC81" s="36" t="n">
        <f aca="false">AB81/$AB$2</f>
        <v>772.296296296296</v>
      </c>
    </row>
    <row r="82" customFormat="false" ht="19.5" hidden="false" customHeight="true" outlineLevel="0" collapsed="false">
      <c r="A82" s="51" t="s">
        <v>97</v>
      </c>
      <c r="B82" s="45" t="s">
        <v>66</v>
      </c>
      <c r="C82" s="25" t="n">
        <v>910</v>
      </c>
      <c r="D82" s="26" t="s">
        <v>127</v>
      </c>
      <c r="E82" s="27" t="s">
        <v>48</v>
      </c>
      <c r="F82" s="28" t="s">
        <v>49</v>
      </c>
      <c r="G82" s="29" t="s">
        <v>41</v>
      </c>
      <c r="H82" s="30" t="n">
        <v>2</v>
      </c>
      <c r="I82" s="31" t="s">
        <v>22</v>
      </c>
      <c r="J82" s="32" t="n">
        <v>45863</v>
      </c>
      <c r="K82" s="33" t="n">
        <v>2349</v>
      </c>
      <c r="L82" s="33"/>
      <c r="M82" s="33"/>
      <c r="N82" s="33" t="n">
        <v>2670</v>
      </c>
      <c r="O82" s="33"/>
      <c r="P82" s="33"/>
      <c r="Q82" s="33" t="n">
        <v>1706</v>
      </c>
      <c r="R82" s="33"/>
      <c r="S82" s="33" t="n">
        <v>128</v>
      </c>
      <c r="T82" s="33"/>
      <c r="U82" s="33" t="n">
        <v>2842</v>
      </c>
      <c r="V82" s="33"/>
      <c r="W82" s="33"/>
      <c r="X82" s="33"/>
      <c r="Y82" s="33" t="n">
        <v>3236</v>
      </c>
      <c r="Z82" s="33"/>
      <c r="AA82" s="34" t="n">
        <f aca="false">SUM(K82:Z82)</f>
        <v>12931</v>
      </c>
      <c r="AB82" s="35" t="n">
        <f aca="false">SUM(AA82/H82)</f>
        <v>6465.5</v>
      </c>
      <c r="AC82" s="36" t="n">
        <f aca="false">AB82/$AB$2</f>
        <v>431.033333333333</v>
      </c>
    </row>
    <row r="83" customFormat="false" ht="19.5" hidden="false" customHeight="true" outlineLevel="0" collapsed="false">
      <c r="A83" s="50" t="s">
        <v>83</v>
      </c>
      <c r="B83" s="45" t="s">
        <v>84</v>
      </c>
      <c r="C83" s="25" t="n">
        <v>205</v>
      </c>
      <c r="D83" s="26" t="s">
        <v>128</v>
      </c>
      <c r="E83" s="27" t="s">
        <v>19</v>
      </c>
      <c r="F83" s="28" t="s">
        <v>20</v>
      </c>
      <c r="G83" s="29" t="s">
        <v>122</v>
      </c>
      <c r="H83" s="30" t="n">
        <v>2.49</v>
      </c>
      <c r="I83" s="31" t="s">
        <v>22</v>
      </c>
      <c r="J83" s="32" t="n">
        <v>45861</v>
      </c>
      <c r="K83" s="33"/>
      <c r="L83" s="33"/>
      <c r="M83" s="33"/>
      <c r="N83" s="33" t="n">
        <v>5634</v>
      </c>
      <c r="O83" s="33"/>
      <c r="P83" s="33"/>
      <c r="Q83" s="33"/>
      <c r="R83" s="33" t="n">
        <v>4018</v>
      </c>
      <c r="S83" s="33"/>
      <c r="T83" s="33"/>
      <c r="U83" s="33"/>
      <c r="V83" s="33"/>
      <c r="W83" s="33"/>
      <c r="X83" s="33" t="n">
        <v>5016</v>
      </c>
      <c r="Y83" s="33" t="n">
        <v>2858</v>
      </c>
      <c r="Z83" s="33"/>
      <c r="AA83" s="34" t="n">
        <f aca="false">SUM(K83:Z83)</f>
        <v>17526</v>
      </c>
      <c r="AB83" s="35" t="n">
        <f aca="false">SUM(AA83/H83)</f>
        <v>7038.55421686747</v>
      </c>
      <c r="AC83" s="36" t="n">
        <f aca="false">AB83/$AB$2</f>
        <v>469.236947791165</v>
      </c>
    </row>
    <row r="84" customFormat="false" ht="19.5" hidden="true" customHeight="true" outlineLevel="0" collapsed="false">
      <c r="A84" s="24" t="s">
        <v>42</v>
      </c>
      <c r="B84" s="45" t="s">
        <v>43</v>
      </c>
      <c r="C84" s="25" t="n">
        <v>104</v>
      </c>
      <c r="D84" s="26" t="s">
        <v>95</v>
      </c>
      <c r="E84" s="27" t="s">
        <v>93</v>
      </c>
      <c r="F84" s="28" t="s">
        <v>20</v>
      </c>
      <c r="G84" s="29" t="n">
        <v>7</v>
      </c>
      <c r="H84" s="30" t="n">
        <v>1.2</v>
      </c>
      <c r="I84" s="41" t="s">
        <v>34</v>
      </c>
      <c r="J84" s="32" t="n">
        <v>45768</v>
      </c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4" t="n">
        <f aca="false">SUM(K84:Z84)</f>
        <v>0</v>
      </c>
      <c r="AB84" s="35" t="n">
        <f aca="false">SUM(AA84/H84)</f>
        <v>0</v>
      </c>
      <c r="AC84" s="36" t="n">
        <f aca="false">AB84/$AB$2</f>
        <v>0</v>
      </c>
    </row>
    <row r="85" customFormat="false" ht="19.5" hidden="false" customHeight="true" outlineLevel="0" collapsed="false">
      <c r="A85" s="51" t="s">
        <v>97</v>
      </c>
      <c r="B85" s="45" t="s">
        <v>66</v>
      </c>
      <c r="C85" s="25" t="n">
        <v>901</v>
      </c>
      <c r="D85" s="26" t="s">
        <v>98</v>
      </c>
      <c r="E85" s="27" t="s">
        <v>32</v>
      </c>
      <c r="F85" s="28" t="s">
        <v>33</v>
      </c>
      <c r="G85" s="29" t="s">
        <v>53</v>
      </c>
      <c r="H85" s="30" t="n">
        <v>4</v>
      </c>
      <c r="I85" s="31" t="s">
        <v>22</v>
      </c>
      <c r="J85" s="32" t="n">
        <v>45883</v>
      </c>
      <c r="K85" s="33" t="n">
        <v>1924</v>
      </c>
      <c r="L85" s="33"/>
      <c r="M85" s="33" t="n">
        <v>2867</v>
      </c>
      <c r="N85" s="33" t="n">
        <v>3231</v>
      </c>
      <c r="O85" s="33" t="n">
        <v>2896</v>
      </c>
      <c r="P85" s="33" t="n">
        <v>3927</v>
      </c>
      <c r="Q85" s="33" t="n">
        <v>2953</v>
      </c>
      <c r="R85" s="33" t="n">
        <v>2191</v>
      </c>
      <c r="S85" s="33"/>
      <c r="T85" s="33" t="n">
        <v>2278</v>
      </c>
      <c r="U85" s="33" t="n">
        <v>2480</v>
      </c>
      <c r="V85" s="33" t="n">
        <v>2266</v>
      </c>
      <c r="W85" s="33" t="n">
        <v>2464</v>
      </c>
      <c r="X85" s="33" t="n">
        <v>2822</v>
      </c>
      <c r="Y85" s="33" t="n">
        <v>2428</v>
      </c>
      <c r="Z85" s="33"/>
      <c r="AA85" s="34" t="n">
        <f aca="false">SUM(K85:Z85)</f>
        <v>34727</v>
      </c>
      <c r="AB85" s="35" t="n">
        <f aca="false">SUM(AA85/H85)</f>
        <v>8681.75</v>
      </c>
      <c r="AC85" s="36" t="n">
        <f aca="false">AB85/$AB$2</f>
        <v>578.783333333333</v>
      </c>
    </row>
    <row r="86" customFormat="false" ht="19.5" hidden="false" customHeight="true" outlineLevel="0" collapsed="false">
      <c r="A86" s="44" t="s">
        <v>57</v>
      </c>
      <c r="B86" s="45" t="s">
        <v>58</v>
      </c>
      <c r="C86" s="25" t="n">
        <v>603</v>
      </c>
      <c r="D86" s="26" t="s">
        <v>59</v>
      </c>
      <c r="E86" s="27" t="s">
        <v>50</v>
      </c>
      <c r="F86" s="28" t="s">
        <v>49</v>
      </c>
      <c r="G86" s="29" t="s">
        <v>129</v>
      </c>
      <c r="H86" s="30" t="n">
        <v>1.76</v>
      </c>
      <c r="I86" s="31" t="s">
        <v>22</v>
      </c>
      <c r="J86" s="32" t="n">
        <v>45861</v>
      </c>
      <c r="K86" s="33"/>
      <c r="L86" s="33" t="n">
        <v>1295</v>
      </c>
      <c r="M86" s="33"/>
      <c r="N86" s="33"/>
      <c r="O86" s="33" t="n">
        <v>1907</v>
      </c>
      <c r="P86" s="33"/>
      <c r="Q86" s="33"/>
      <c r="R86" s="33" t="n">
        <v>2171</v>
      </c>
      <c r="S86" s="33"/>
      <c r="T86" s="33"/>
      <c r="U86" s="33"/>
      <c r="V86" s="33"/>
      <c r="W86" s="33"/>
      <c r="X86" s="33" t="n">
        <v>3234</v>
      </c>
      <c r="Y86" s="33"/>
      <c r="Z86" s="33"/>
      <c r="AA86" s="34" t="n">
        <f aca="false">SUM(K86:Z86)</f>
        <v>8607</v>
      </c>
      <c r="AB86" s="35" t="n">
        <f aca="false">SUM(AA86/H86)</f>
        <v>4890.34090909091</v>
      </c>
      <c r="AC86" s="36" t="n">
        <f aca="false">AB86/$AB$2</f>
        <v>326.022727272727</v>
      </c>
    </row>
    <row r="87" customFormat="false" ht="19.5" hidden="false" customHeight="true" outlineLevel="0" collapsed="false">
      <c r="A87" s="47" t="s">
        <v>65</v>
      </c>
      <c r="B87" s="45" t="s">
        <v>66</v>
      </c>
      <c r="C87" s="25" t="n">
        <v>903</v>
      </c>
      <c r="D87" s="26" t="s">
        <v>67</v>
      </c>
      <c r="E87" s="27" t="s">
        <v>48</v>
      </c>
      <c r="F87" s="28" t="s">
        <v>49</v>
      </c>
      <c r="G87" s="29" t="s">
        <v>130</v>
      </c>
      <c r="H87" s="30" t="n">
        <v>3.2</v>
      </c>
      <c r="I87" s="31" t="s">
        <v>22</v>
      </c>
      <c r="J87" s="32" t="n">
        <v>45864</v>
      </c>
      <c r="K87" s="33"/>
      <c r="L87" s="33" t="n">
        <v>8034</v>
      </c>
      <c r="M87" s="33"/>
      <c r="N87" s="33"/>
      <c r="O87" s="33"/>
      <c r="P87" s="33" t="n">
        <v>5686</v>
      </c>
      <c r="Q87" s="33"/>
      <c r="R87" s="33"/>
      <c r="S87" s="33"/>
      <c r="T87" s="33"/>
      <c r="U87" s="33" t="n">
        <v>7892</v>
      </c>
      <c r="V87" s="33"/>
      <c r="W87" s="33"/>
      <c r="X87" s="33"/>
      <c r="Y87" s="33" t="n">
        <v>5420</v>
      </c>
      <c r="Z87" s="33"/>
      <c r="AA87" s="34" t="n">
        <f aca="false">SUM(K87:Z87)</f>
        <v>27032</v>
      </c>
      <c r="AB87" s="35" t="n">
        <f aca="false">SUM(AA87/H87)</f>
        <v>8447.5</v>
      </c>
      <c r="AC87" s="36" t="n">
        <f aca="false">AB87/$AB$2</f>
        <v>563.166666666667</v>
      </c>
    </row>
    <row r="88" customFormat="false" ht="19.5" hidden="false" customHeight="true" outlineLevel="0" collapsed="false">
      <c r="A88" s="24" t="s">
        <v>42</v>
      </c>
      <c r="B88" s="45" t="s">
        <v>43</v>
      </c>
      <c r="C88" s="25" t="n">
        <v>103</v>
      </c>
      <c r="D88" s="26" t="s">
        <v>125</v>
      </c>
      <c r="E88" s="27" t="s">
        <v>131</v>
      </c>
      <c r="F88" s="28" t="s">
        <v>20</v>
      </c>
      <c r="G88" s="29" t="n">
        <v>4</v>
      </c>
      <c r="H88" s="30" t="n">
        <v>1.5</v>
      </c>
      <c r="I88" s="41" t="s">
        <v>34</v>
      </c>
      <c r="J88" s="32" t="n">
        <v>45805</v>
      </c>
      <c r="K88" s="33"/>
      <c r="L88" s="33"/>
      <c r="M88" s="33" t="n">
        <v>2287</v>
      </c>
      <c r="N88" s="33"/>
      <c r="O88" s="33"/>
      <c r="P88" s="33"/>
      <c r="Q88" s="33" t="n">
        <v>2153</v>
      </c>
      <c r="R88" s="33"/>
      <c r="S88" s="33"/>
      <c r="T88" s="33"/>
      <c r="U88" s="33"/>
      <c r="V88" s="33" t="n">
        <v>3527</v>
      </c>
      <c r="W88" s="33"/>
      <c r="X88" s="33"/>
      <c r="Y88" s="33" t="n">
        <v>720</v>
      </c>
      <c r="Z88" s="33"/>
      <c r="AA88" s="34" t="n">
        <f aca="false">SUM(K88:Z88)</f>
        <v>8687</v>
      </c>
      <c r="AB88" s="35" t="n">
        <f aca="false">SUM(AA88/H88)</f>
        <v>5791.33333333333</v>
      </c>
      <c r="AC88" s="36" t="n">
        <f aca="false">AB88/$AB$2</f>
        <v>386.088888888889</v>
      </c>
    </row>
    <row r="89" customFormat="false" ht="19.5" hidden="false" customHeight="true" outlineLevel="0" collapsed="false">
      <c r="A89" s="65" t="s">
        <v>132</v>
      </c>
      <c r="B89" s="45" t="s">
        <v>17</v>
      </c>
      <c r="C89" s="25" t="n">
        <v>801</v>
      </c>
      <c r="D89" s="26" t="s">
        <v>133</v>
      </c>
      <c r="E89" s="27" t="s">
        <v>48</v>
      </c>
      <c r="F89" s="28" t="s">
        <v>49</v>
      </c>
      <c r="G89" s="29" t="s">
        <v>134</v>
      </c>
      <c r="H89" s="30" t="n">
        <v>2</v>
      </c>
      <c r="I89" s="31" t="s">
        <v>22</v>
      </c>
      <c r="J89" s="32" t="n">
        <v>45888</v>
      </c>
      <c r="K89" s="33"/>
      <c r="L89" s="33" t="n">
        <v>3382</v>
      </c>
      <c r="M89" s="33"/>
      <c r="N89" s="33"/>
      <c r="O89" s="33" t="n">
        <v>2751</v>
      </c>
      <c r="P89" s="33"/>
      <c r="Q89" s="33"/>
      <c r="R89" s="33" t="n">
        <v>173</v>
      </c>
      <c r="S89" s="33" t="n">
        <v>3636</v>
      </c>
      <c r="T89" s="33" t="n">
        <v>2476</v>
      </c>
      <c r="U89" s="33"/>
      <c r="V89" s="33"/>
      <c r="W89" s="33" t="n">
        <v>5078</v>
      </c>
      <c r="X89" s="33"/>
      <c r="Y89" s="33"/>
      <c r="Z89" s="33"/>
      <c r="AA89" s="34" t="n">
        <f aca="false">SUM(K89:Z89)</f>
        <v>17496</v>
      </c>
      <c r="AB89" s="35" t="n">
        <f aca="false">SUM(AA89/H89)</f>
        <v>8748</v>
      </c>
      <c r="AC89" s="36" t="n">
        <f aca="false">AB89/$AB$2</f>
        <v>583.2</v>
      </c>
    </row>
    <row r="90" customFormat="false" ht="19.5" hidden="false" customHeight="true" outlineLevel="0" collapsed="false">
      <c r="A90" s="44" t="s">
        <v>57</v>
      </c>
      <c r="B90" s="45" t="s">
        <v>58</v>
      </c>
      <c r="C90" s="25" t="n">
        <v>603</v>
      </c>
      <c r="D90" s="26" t="s">
        <v>59</v>
      </c>
      <c r="E90" s="27" t="s">
        <v>48</v>
      </c>
      <c r="F90" s="28" t="s">
        <v>49</v>
      </c>
      <c r="G90" s="29" t="s">
        <v>45</v>
      </c>
      <c r="H90" s="30" t="n">
        <v>1.88</v>
      </c>
      <c r="I90" s="31" t="s">
        <v>22</v>
      </c>
      <c r="J90" s="32" t="n">
        <v>45872</v>
      </c>
      <c r="K90" s="33"/>
      <c r="L90" s="33" t="n">
        <v>1378</v>
      </c>
      <c r="M90" s="33"/>
      <c r="N90" s="33"/>
      <c r="O90" s="33" t="n">
        <v>2272</v>
      </c>
      <c r="P90" s="33"/>
      <c r="Q90" s="33"/>
      <c r="R90" s="33" t="n">
        <v>2560</v>
      </c>
      <c r="S90" s="33"/>
      <c r="T90" s="33"/>
      <c r="U90" s="33" t="n">
        <v>2424</v>
      </c>
      <c r="V90" s="33"/>
      <c r="W90" s="33"/>
      <c r="X90" s="33"/>
      <c r="Y90" s="33" t="n">
        <v>2354</v>
      </c>
      <c r="Z90" s="33"/>
      <c r="AA90" s="34" t="n">
        <f aca="false">SUM(K90:Z90)</f>
        <v>10988</v>
      </c>
      <c r="AB90" s="35" t="n">
        <f aca="false">SUM(AA90/H90)</f>
        <v>5844.68085106383</v>
      </c>
      <c r="AC90" s="36" t="n">
        <f aca="false">AB90/$AB$2</f>
        <v>389.645390070922</v>
      </c>
    </row>
    <row r="91" customFormat="false" ht="19.5" hidden="false" customHeight="true" outlineLevel="0" collapsed="false">
      <c r="A91" s="24" t="s">
        <v>42</v>
      </c>
      <c r="B91" s="45" t="s">
        <v>43</v>
      </c>
      <c r="C91" s="25" t="n">
        <v>100</v>
      </c>
      <c r="D91" s="26" t="s">
        <v>44</v>
      </c>
      <c r="E91" s="27" t="s">
        <v>19</v>
      </c>
      <c r="F91" s="28" t="s">
        <v>20</v>
      </c>
      <c r="G91" s="29" t="n">
        <v>6</v>
      </c>
      <c r="H91" s="30" t="n">
        <v>1.4</v>
      </c>
      <c r="I91" s="31" t="s">
        <v>22</v>
      </c>
      <c r="J91" s="32" t="n">
        <v>45963</v>
      </c>
      <c r="K91" s="33"/>
      <c r="L91" s="33" t="n">
        <v>3845</v>
      </c>
      <c r="M91" s="33" t="n">
        <v>5333</v>
      </c>
      <c r="N91" s="33"/>
      <c r="O91" s="33"/>
      <c r="P91" s="33"/>
      <c r="Q91" s="33" t="n">
        <v>2179</v>
      </c>
      <c r="R91" s="33"/>
      <c r="S91" s="33"/>
      <c r="T91" s="33"/>
      <c r="U91" s="33"/>
      <c r="V91" s="33"/>
      <c r="W91" s="33" t="n">
        <v>5141</v>
      </c>
      <c r="X91" s="33" t="n">
        <v>5858</v>
      </c>
      <c r="Y91" s="33"/>
      <c r="Z91" s="33"/>
      <c r="AA91" s="34" t="n">
        <f aca="false">SUM(K91:Z91)</f>
        <v>22356</v>
      </c>
      <c r="AB91" s="35" t="n">
        <f aca="false">SUM(AA91/H91)</f>
        <v>15968.5714285714</v>
      </c>
      <c r="AC91" s="36" t="n">
        <f aca="false">AB91/$AB$2</f>
        <v>1064.57142857143</v>
      </c>
    </row>
    <row r="92" customFormat="false" ht="19.5" hidden="false" customHeight="true" outlineLevel="0" collapsed="false">
      <c r="A92" s="50" t="s">
        <v>83</v>
      </c>
      <c r="B92" s="45" t="s">
        <v>84</v>
      </c>
      <c r="C92" s="25" t="n">
        <v>201</v>
      </c>
      <c r="D92" s="26" t="s">
        <v>124</v>
      </c>
      <c r="E92" s="27" t="s">
        <v>48</v>
      </c>
      <c r="F92" s="28" t="s">
        <v>49</v>
      </c>
      <c r="G92" s="29" t="s">
        <v>135</v>
      </c>
      <c r="H92" s="30" t="n">
        <v>1.8</v>
      </c>
      <c r="I92" s="31" t="s">
        <v>22</v>
      </c>
      <c r="J92" s="32" t="n">
        <v>45861</v>
      </c>
      <c r="K92" s="33"/>
      <c r="L92" s="33"/>
      <c r="M92" s="33" t="n">
        <v>1865</v>
      </c>
      <c r="N92" s="33" t="n">
        <v>1377</v>
      </c>
      <c r="O92" s="33" t="n">
        <v>615</v>
      </c>
      <c r="P92" s="33"/>
      <c r="Q92" s="33"/>
      <c r="R92" s="33" t="n">
        <v>4985</v>
      </c>
      <c r="S92" s="33"/>
      <c r="T92" s="33"/>
      <c r="U92" s="33" t="n">
        <v>2276</v>
      </c>
      <c r="V92" s="33" t="n">
        <v>2274</v>
      </c>
      <c r="W92" s="33"/>
      <c r="X92" s="33"/>
      <c r="Y92" s="33" t="n">
        <v>1598</v>
      </c>
      <c r="Z92" s="33"/>
      <c r="AA92" s="34" t="n">
        <f aca="false">SUM(K92:Z92)</f>
        <v>14990</v>
      </c>
      <c r="AB92" s="35" t="n">
        <f aca="false">SUM(AA92/H92)</f>
        <v>8327.77777777778</v>
      </c>
      <c r="AC92" s="36" t="n">
        <f aca="false">AB92/$AB$2</f>
        <v>555.185185185185</v>
      </c>
    </row>
    <row r="93" customFormat="false" ht="19.5" hidden="false" customHeight="true" outlineLevel="0" collapsed="false">
      <c r="A93" s="24" t="s">
        <v>42</v>
      </c>
      <c r="B93" s="45" t="s">
        <v>43</v>
      </c>
      <c r="C93" s="25" t="n">
        <v>102</v>
      </c>
      <c r="D93" s="26" t="s">
        <v>92</v>
      </c>
      <c r="E93" s="27" t="s">
        <v>48</v>
      </c>
      <c r="F93" s="28" t="s">
        <v>49</v>
      </c>
      <c r="G93" s="29" t="s">
        <v>28</v>
      </c>
      <c r="H93" s="30" t="n">
        <v>1.64</v>
      </c>
      <c r="I93" s="31" t="s">
        <v>22</v>
      </c>
      <c r="J93" s="32" t="n">
        <v>45893</v>
      </c>
      <c r="K93" s="33" t="n">
        <v>1661</v>
      </c>
      <c r="L93" s="33" t="n">
        <v>1848</v>
      </c>
      <c r="M93" s="33"/>
      <c r="N93" s="33"/>
      <c r="O93" s="33" t="n">
        <v>2994</v>
      </c>
      <c r="P93" s="33"/>
      <c r="Q93" s="33"/>
      <c r="R93" s="33" t="n">
        <v>1769</v>
      </c>
      <c r="S93" s="33" t="n">
        <v>662</v>
      </c>
      <c r="T93" s="33"/>
      <c r="U93" s="33"/>
      <c r="V93" s="33" t="n">
        <v>2028</v>
      </c>
      <c r="W93" s="33" t="n">
        <v>749</v>
      </c>
      <c r="X93" s="33"/>
      <c r="Y93" s="33" t="n">
        <v>1535</v>
      </c>
      <c r="Z93" s="33"/>
      <c r="AA93" s="34" t="n">
        <f aca="false">SUM(K93:Z93)</f>
        <v>13246</v>
      </c>
      <c r="AB93" s="35" t="n">
        <f aca="false">SUM(AA93/H93)</f>
        <v>8076.82926829268</v>
      </c>
      <c r="AC93" s="36" t="n">
        <f aca="false">AB93/$AB$2</f>
        <v>538.455284552846</v>
      </c>
    </row>
    <row r="94" customFormat="false" ht="19.5" hidden="false" customHeight="true" outlineLevel="0" collapsed="false">
      <c r="A94" s="43" t="s">
        <v>51</v>
      </c>
      <c r="B94" s="45" t="s">
        <v>26</v>
      </c>
      <c r="C94" s="25" t="n">
        <v>301</v>
      </c>
      <c r="D94" s="26" t="s">
        <v>136</v>
      </c>
      <c r="E94" s="27" t="s">
        <v>48</v>
      </c>
      <c r="F94" s="28" t="s">
        <v>49</v>
      </c>
      <c r="G94" s="29" t="s">
        <v>45</v>
      </c>
      <c r="H94" s="30" t="n">
        <v>2</v>
      </c>
      <c r="I94" s="31" t="s">
        <v>22</v>
      </c>
      <c r="J94" s="32" t="n">
        <v>45869</v>
      </c>
      <c r="K94" s="33"/>
      <c r="L94" s="33"/>
      <c r="M94" s="33" t="n">
        <v>5692</v>
      </c>
      <c r="N94" s="33"/>
      <c r="O94" s="33"/>
      <c r="P94" s="33" t="n">
        <v>5441</v>
      </c>
      <c r="Q94" s="33"/>
      <c r="R94" s="33"/>
      <c r="S94" s="33"/>
      <c r="T94" s="33" t="n">
        <v>5356</v>
      </c>
      <c r="U94" s="33"/>
      <c r="V94" s="33"/>
      <c r="W94" s="33" t="n">
        <v>2831</v>
      </c>
      <c r="X94" s="33"/>
      <c r="Y94" s="33"/>
      <c r="Z94" s="33"/>
      <c r="AA94" s="34" t="n">
        <f aca="false">SUM(K94:Z94)</f>
        <v>19320</v>
      </c>
      <c r="AB94" s="35" t="n">
        <f aca="false">SUM(AA94/H94)</f>
        <v>9660</v>
      </c>
      <c r="AC94" s="36" t="n">
        <f aca="false">AB94/$AB$2</f>
        <v>644</v>
      </c>
    </row>
    <row r="95" customFormat="false" ht="19.5" hidden="false" customHeight="true" outlineLevel="0" collapsed="false">
      <c r="A95" s="23" t="s">
        <v>16</v>
      </c>
      <c r="B95" s="45" t="s">
        <v>17</v>
      </c>
      <c r="C95" s="25" t="n">
        <v>701</v>
      </c>
      <c r="D95" s="26" t="s">
        <v>18</v>
      </c>
      <c r="E95" s="27" t="s">
        <v>137</v>
      </c>
      <c r="F95" s="28" t="s">
        <v>87</v>
      </c>
      <c r="G95" s="29" t="n">
        <v>7</v>
      </c>
      <c r="H95" s="30" t="n">
        <v>0.8</v>
      </c>
      <c r="I95" s="31" t="s">
        <v>22</v>
      </c>
      <c r="J95" s="32" t="n">
        <v>45889</v>
      </c>
      <c r="K95" s="33"/>
      <c r="L95" s="33" t="n">
        <v>340</v>
      </c>
      <c r="M95" s="33"/>
      <c r="N95" s="33" t="n">
        <v>911</v>
      </c>
      <c r="O95" s="33" t="n">
        <v>394</v>
      </c>
      <c r="P95" s="33"/>
      <c r="Q95" s="33"/>
      <c r="R95" s="33"/>
      <c r="S95" s="33" t="n">
        <v>658</v>
      </c>
      <c r="T95" s="33"/>
      <c r="U95" s="33"/>
      <c r="V95" s="33"/>
      <c r="W95" s="33"/>
      <c r="X95" s="33"/>
      <c r="Y95" s="33"/>
      <c r="Z95" s="33"/>
      <c r="AA95" s="34" t="n">
        <f aca="false">SUM(K95:Z95)</f>
        <v>2303</v>
      </c>
      <c r="AB95" s="35" t="n">
        <f aca="false">SUM(AA95/H95)</f>
        <v>2878.75</v>
      </c>
      <c r="AC95" s="36" t="n">
        <f aca="false">AB95/$AB$2</f>
        <v>191.916666666667</v>
      </c>
    </row>
    <row r="96" customFormat="false" ht="19.5" hidden="false" customHeight="true" outlineLevel="0" collapsed="false">
      <c r="A96" s="65" t="s">
        <v>132</v>
      </c>
      <c r="B96" s="45" t="s">
        <v>17</v>
      </c>
      <c r="C96" s="25" t="n">
        <v>801</v>
      </c>
      <c r="D96" s="26" t="s">
        <v>133</v>
      </c>
      <c r="E96" s="27" t="s">
        <v>138</v>
      </c>
      <c r="F96" s="28" t="s">
        <v>49</v>
      </c>
      <c r="G96" s="29" t="s">
        <v>122</v>
      </c>
      <c r="H96" s="30" t="n">
        <v>2.5</v>
      </c>
      <c r="I96" s="31" t="s">
        <v>22</v>
      </c>
      <c r="J96" s="32" t="n">
        <v>45872</v>
      </c>
      <c r="K96" s="33" t="n">
        <v>5563</v>
      </c>
      <c r="L96" s="33"/>
      <c r="M96" s="33" t="n">
        <v>1140</v>
      </c>
      <c r="N96" s="33" t="n">
        <v>180</v>
      </c>
      <c r="O96" s="33" t="n">
        <v>3331</v>
      </c>
      <c r="P96" s="33"/>
      <c r="Q96" s="33" t="n">
        <v>1579</v>
      </c>
      <c r="R96" s="33"/>
      <c r="S96" s="33" t="n">
        <v>5457</v>
      </c>
      <c r="T96" s="33"/>
      <c r="U96" s="33"/>
      <c r="V96" s="33" t="n">
        <v>6868</v>
      </c>
      <c r="W96" s="33"/>
      <c r="X96" s="33"/>
      <c r="Y96" s="33" t="n">
        <v>6651</v>
      </c>
      <c r="Z96" s="33"/>
      <c r="AA96" s="34" t="n">
        <f aca="false">SUM(K96:Z96)</f>
        <v>30769</v>
      </c>
      <c r="AB96" s="35" t="n">
        <f aca="false">SUM(AA96/H96)</f>
        <v>12307.6</v>
      </c>
      <c r="AC96" s="36" t="n">
        <f aca="false">AB96/$AB$2</f>
        <v>820.506666666667</v>
      </c>
    </row>
    <row r="97" customFormat="false" ht="19.5" hidden="false" customHeight="true" outlineLevel="0" collapsed="false">
      <c r="A97" s="44" t="s">
        <v>57</v>
      </c>
      <c r="B97" s="45" t="s">
        <v>58</v>
      </c>
      <c r="C97" s="25" t="n">
        <v>601</v>
      </c>
      <c r="D97" s="26" t="s">
        <v>119</v>
      </c>
      <c r="E97" s="27" t="s">
        <v>48</v>
      </c>
      <c r="F97" s="28" t="s">
        <v>49</v>
      </c>
      <c r="G97" s="29" t="s">
        <v>139</v>
      </c>
      <c r="H97" s="30" t="n">
        <v>2.25</v>
      </c>
      <c r="I97" s="31" t="s">
        <v>22</v>
      </c>
      <c r="J97" s="32" t="n">
        <v>45872</v>
      </c>
      <c r="K97" s="33" t="n">
        <v>3057</v>
      </c>
      <c r="L97" s="33"/>
      <c r="M97" s="33"/>
      <c r="N97" s="33" t="n">
        <v>3149</v>
      </c>
      <c r="O97" s="33"/>
      <c r="P97" s="33"/>
      <c r="Q97" s="33"/>
      <c r="R97" s="33"/>
      <c r="S97" s="33" t="n">
        <v>5403</v>
      </c>
      <c r="T97" s="33"/>
      <c r="U97" s="33"/>
      <c r="V97" s="33" t="n">
        <v>4527</v>
      </c>
      <c r="W97" s="33"/>
      <c r="X97" s="33"/>
      <c r="Y97" s="33" t="n">
        <v>2574</v>
      </c>
      <c r="Z97" s="33"/>
      <c r="AA97" s="34" t="n">
        <f aca="false">SUM(K97:Z97)</f>
        <v>18710</v>
      </c>
      <c r="AB97" s="35" t="n">
        <f aca="false">SUM(AA97/H97)</f>
        <v>8315.55555555556</v>
      </c>
      <c r="AC97" s="36" t="n">
        <f aca="false">AB97/$AB$2</f>
        <v>554.37037037037</v>
      </c>
    </row>
    <row r="98" customFormat="false" ht="19.5" hidden="true" customHeight="true" outlineLevel="0" collapsed="false">
      <c r="A98" s="39" t="s">
        <v>29</v>
      </c>
      <c r="B98" s="45" t="s">
        <v>26</v>
      </c>
      <c r="C98" s="25" t="n">
        <v>404</v>
      </c>
      <c r="D98" s="26" t="s">
        <v>126</v>
      </c>
      <c r="E98" s="27" t="s">
        <v>35</v>
      </c>
      <c r="F98" s="28" t="s">
        <v>20</v>
      </c>
      <c r="G98" s="29" t="n">
        <v>4</v>
      </c>
      <c r="H98" s="30" t="n">
        <v>1.1</v>
      </c>
      <c r="I98" s="31" t="s">
        <v>22</v>
      </c>
      <c r="J98" s="32" t="n">
        <v>45857</v>
      </c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4" t="n">
        <f aca="false">SUM(K98:Z98)</f>
        <v>0</v>
      </c>
      <c r="AB98" s="35" t="n">
        <f aca="false">SUM(AA98/H98)</f>
        <v>0</v>
      </c>
      <c r="AC98" s="36" t="n">
        <f aca="false">AB98/$AB$2</f>
        <v>0</v>
      </c>
    </row>
    <row r="99" customFormat="false" ht="19.5" hidden="true" customHeight="true" outlineLevel="0" collapsed="false">
      <c r="A99" s="23" t="s">
        <v>16</v>
      </c>
      <c r="B99" s="45" t="s">
        <v>17</v>
      </c>
      <c r="C99" s="25" t="n">
        <v>702</v>
      </c>
      <c r="D99" s="26" t="s">
        <v>121</v>
      </c>
      <c r="E99" s="27" t="s">
        <v>112</v>
      </c>
      <c r="F99" s="28" t="s">
        <v>33</v>
      </c>
      <c r="G99" s="29" t="s">
        <v>28</v>
      </c>
      <c r="H99" s="30" t="n">
        <v>2</v>
      </c>
      <c r="I99" s="41" t="s">
        <v>34</v>
      </c>
      <c r="J99" s="32" t="n">
        <v>45832</v>
      </c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4" t="n">
        <f aca="false">SUM(K99:Z99)</f>
        <v>0</v>
      </c>
      <c r="AB99" s="35" t="n">
        <f aca="false">SUM(AA99/H99)</f>
        <v>0</v>
      </c>
      <c r="AC99" s="36" t="n">
        <f aca="false">AB99/$AB$2</f>
        <v>0</v>
      </c>
    </row>
    <row r="100" customFormat="false" ht="19.5" hidden="false" customHeight="true" outlineLevel="0" collapsed="false">
      <c r="A100" s="23" t="s">
        <v>16</v>
      </c>
      <c r="B100" s="45" t="s">
        <v>17</v>
      </c>
      <c r="C100" s="25" t="n">
        <v>701</v>
      </c>
      <c r="D100" s="26" t="s">
        <v>18</v>
      </c>
      <c r="E100" s="27" t="s">
        <v>140</v>
      </c>
      <c r="F100" s="28" t="s">
        <v>87</v>
      </c>
      <c r="G100" s="29" t="n">
        <v>8</v>
      </c>
      <c r="H100" s="30" t="n">
        <v>0.8</v>
      </c>
      <c r="I100" s="31" t="s">
        <v>22</v>
      </c>
      <c r="J100" s="32" t="n">
        <v>45884</v>
      </c>
      <c r="K100" s="33"/>
      <c r="L100" s="33" t="n">
        <v>420</v>
      </c>
      <c r="M100" s="33"/>
      <c r="N100" s="33" t="n">
        <v>384</v>
      </c>
      <c r="O100" s="33"/>
      <c r="P100" s="33"/>
      <c r="Q100" s="33" t="n">
        <v>751</v>
      </c>
      <c r="R100" s="33" t="n">
        <v>1155</v>
      </c>
      <c r="S100" s="33" t="n">
        <v>1850</v>
      </c>
      <c r="T100" s="33"/>
      <c r="U100" s="33"/>
      <c r="V100" s="33"/>
      <c r="W100" s="33"/>
      <c r="X100" s="33" t="n">
        <v>464</v>
      </c>
      <c r="Y100" s="33" t="n">
        <v>2008</v>
      </c>
      <c r="Z100" s="33"/>
      <c r="AA100" s="34" t="n">
        <f aca="false">SUM(K100:Z100)</f>
        <v>7032</v>
      </c>
      <c r="AB100" s="35" t="n">
        <f aca="false">SUM(AA100/H100)</f>
        <v>8790</v>
      </c>
      <c r="AC100" s="36" t="n">
        <f aca="false">AB100/$AB$2</f>
        <v>586</v>
      </c>
    </row>
    <row r="101" customFormat="false" ht="19.5" hidden="false" customHeight="true" outlineLevel="0" collapsed="false">
      <c r="A101" s="50" t="s">
        <v>83</v>
      </c>
      <c r="B101" s="45" t="s">
        <v>84</v>
      </c>
      <c r="C101" s="25" t="n">
        <v>201</v>
      </c>
      <c r="D101" s="26" t="s">
        <v>124</v>
      </c>
      <c r="E101" s="27" t="s">
        <v>32</v>
      </c>
      <c r="F101" s="28" t="s">
        <v>33</v>
      </c>
      <c r="G101" s="29" t="n">
        <v>19</v>
      </c>
      <c r="H101" s="30" t="n">
        <v>1.7</v>
      </c>
      <c r="I101" s="31" t="s">
        <v>22</v>
      </c>
      <c r="J101" s="32" t="n">
        <v>45839</v>
      </c>
      <c r="K101" s="33"/>
      <c r="L101" s="33"/>
      <c r="M101" s="33"/>
      <c r="N101" s="33" t="n">
        <v>638</v>
      </c>
      <c r="O101" s="33"/>
      <c r="P101" s="33"/>
      <c r="Q101" s="33" t="n">
        <v>1446</v>
      </c>
      <c r="R101" s="33"/>
      <c r="S101" s="33"/>
      <c r="T101" s="33"/>
      <c r="U101" s="33"/>
      <c r="V101" s="33"/>
      <c r="W101" s="33"/>
      <c r="X101" s="33"/>
      <c r="Y101" s="33" t="n">
        <v>956</v>
      </c>
      <c r="Z101" s="33"/>
      <c r="AA101" s="34" t="n">
        <f aca="false">SUM(K101:Z101)</f>
        <v>3040</v>
      </c>
      <c r="AB101" s="35" t="n">
        <f aca="false">SUM(AA101/H101)</f>
        <v>1788.23529411765</v>
      </c>
      <c r="AC101" s="36" t="n">
        <f aca="false">AB101/$AB$2</f>
        <v>119.21568627451</v>
      </c>
    </row>
    <row r="102" customFormat="false" ht="19.5" hidden="false" customHeight="true" outlineLevel="0" collapsed="false">
      <c r="A102" s="44" t="s">
        <v>57</v>
      </c>
      <c r="B102" s="45" t="s">
        <v>58</v>
      </c>
      <c r="C102" s="25" t="n">
        <v>603</v>
      </c>
      <c r="D102" s="26" t="s">
        <v>59</v>
      </c>
      <c r="E102" s="27" t="s">
        <v>32</v>
      </c>
      <c r="F102" s="28" t="s">
        <v>33</v>
      </c>
      <c r="G102" s="29" t="n">
        <v>3</v>
      </c>
      <c r="H102" s="30" t="n">
        <v>1</v>
      </c>
      <c r="I102" s="31" t="s">
        <v>22</v>
      </c>
      <c r="J102" s="32" t="n">
        <v>45846</v>
      </c>
      <c r="K102" s="33"/>
      <c r="L102" s="33"/>
      <c r="M102" s="33" t="n">
        <v>1590</v>
      </c>
      <c r="N102" s="33"/>
      <c r="O102" s="33"/>
      <c r="P102" s="33"/>
      <c r="Q102" s="33" t="n">
        <v>1218</v>
      </c>
      <c r="R102" s="33"/>
      <c r="S102" s="33"/>
      <c r="T102" s="33" t="n">
        <v>1414</v>
      </c>
      <c r="U102" s="33"/>
      <c r="V102" s="33"/>
      <c r="W102" s="33"/>
      <c r="X102" s="33" t="n">
        <v>1387</v>
      </c>
      <c r="Y102" s="33" t="n">
        <v>626</v>
      </c>
      <c r="Z102" s="33"/>
      <c r="AA102" s="34" t="n">
        <f aca="false">SUM(K102:Z102)</f>
        <v>6235</v>
      </c>
      <c r="AB102" s="35" t="n">
        <f aca="false">SUM(AA102/H102)</f>
        <v>6235</v>
      </c>
      <c r="AC102" s="36" t="n">
        <f aca="false">AB102/$AB$2</f>
        <v>415.666666666667</v>
      </c>
    </row>
    <row r="103" customFormat="false" ht="19.5" hidden="false" customHeight="true" outlineLevel="0" collapsed="false">
      <c r="A103" s="23" t="s">
        <v>16</v>
      </c>
      <c r="B103" s="45" t="s">
        <v>17</v>
      </c>
      <c r="C103" s="25" t="n">
        <v>701</v>
      </c>
      <c r="D103" s="26" t="s">
        <v>18</v>
      </c>
      <c r="E103" s="27" t="s">
        <v>48</v>
      </c>
      <c r="F103" s="28" t="s">
        <v>49</v>
      </c>
      <c r="G103" s="29" t="s">
        <v>89</v>
      </c>
      <c r="H103" s="30" t="n">
        <v>1.5</v>
      </c>
      <c r="I103" s="31" t="s">
        <v>22</v>
      </c>
      <c r="J103" s="32" t="n">
        <v>45861</v>
      </c>
      <c r="K103" s="33"/>
      <c r="L103" s="33" t="n">
        <v>2210</v>
      </c>
      <c r="M103" s="33"/>
      <c r="N103" s="33"/>
      <c r="O103" s="33" t="n">
        <v>1802</v>
      </c>
      <c r="P103" s="33"/>
      <c r="Q103" s="33"/>
      <c r="R103" s="33" t="n">
        <v>1972</v>
      </c>
      <c r="S103" s="33"/>
      <c r="T103" s="33"/>
      <c r="U103" s="33"/>
      <c r="V103" s="33" t="n">
        <v>2944</v>
      </c>
      <c r="W103" s="33"/>
      <c r="X103" s="33"/>
      <c r="Y103" s="33" t="n">
        <v>1759</v>
      </c>
      <c r="Z103" s="33"/>
      <c r="AA103" s="34" t="n">
        <f aca="false">SUM(K103:Z103)</f>
        <v>10687</v>
      </c>
      <c r="AB103" s="35" t="n">
        <f aca="false">SUM(AA103/H103)</f>
        <v>7124.66666666667</v>
      </c>
      <c r="AC103" s="36" t="n">
        <f aca="false">AB103/$AB$2</f>
        <v>474.977777777778</v>
      </c>
    </row>
    <row r="104" customFormat="false" ht="19.5" hidden="false" customHeight="true" outlineLevel="0" collapsed="false">
      <c r="A104" s="50" t="s">
        <v>83</v>
      </c>
      <c r="B104" s="45" t="s">
        <v>84</v>
      </c>
      <c r="C104" s="25" t="n">
        <v>203</v>
      </c>
      <c r="D104" s="26" t="s">
        <v>141</v>
      </c>
      <c r="E104" s="27" t="s">
        <v>48</v>
      </c>
      <c r="F104" s="28" t="s">
        <v>49</v>
      </c>
      <c r="G104" s="29" t="s">
        <v>142</v>
      </c>
      <c r="H104" s="30" t="n">
        <v>4</v>
      </c>
      <c r="I104" s="31" t="s">
        <v>22</v>
      </c>
      <c r="J104" s="32" t="n">
        <v>45863</v>
      </c>
      <c r="K104" s="33" t="n">
        <v>6863</v>
      </c>
      <c r="L104" s="33"/>
      <c r="M104" s="33"/>
      <c r="N104" s="33" t="n">
        <v>6006</v>
      </c>
      <c r="O104" s="33"/>
      <c r="P104" s="33" t="n">
        <v>1178</v>
      </c>
      <c r="Q104" s="33" t="n">
        <v>4824</v>
      </c>
      <c r="R104" s="33" t="n">
        <v>4581</v>
      </c>
      <c r="S104" s="33" t="n">
        <v>3774</v>
      </c>
      <c r="T104" s="33"/>
      <c r="U104" s="33" t="n">
        <v>6561</v>
      </c>
      <c r="V104" s="33"/>
      <c r="W104" s="33"/>
      <c r="X104" s="33" t="n">
        <v>7831</v>
      </c>
      <c r="Y104" s="33"/>
      <c r="Z104" s="33"/>
      <c r="AA104" s="34" t="n">
        <f aca="false">SUM(K104:Z104)</f>
        <v>41618</v>
      </c>
      <c r="AB104" s="35" t="n">
        <f aca="false">SUM(AA104/H104)</f>
        <v>10404.5</v>
      </c>
      <c r="AC104" s="36" t="n">
        <f aca="false">AB104/$AB$2</f>
        <v>693.633333333333</v>
      </c>
    </row>
    <row r="105" customFormat="false" ht="19.5" hidden="false" customHeight="true" outlineLevel="0" collapsed="false">
      <c r="A105" s="50" t="s">
        <v>83</v>
      </c>
      <c r="B105" s="45" t="s">
        <v>84</v>
      </c>
      <c r="C105" s="25" t="n">
        <v>203</v>
      </c>
      <c r="D105" s="26" t="s">
        <v>141</v>
      </c>
      <c r="E105" s="27" t="s">
        <v>32</v>
      </c>
      <c r="F105" s="28" t="s">
        <v>33</v>
      </c>
      <c r="G105" s="29" t="n">
        <v>21</v>
      </c>
      <c r="H105" s="30" t="n">
        <v>1.24</v>
      </c>
      <c r="I105" s="31" t="s">
        <v>22</v>
      </c>
      <c r="J105" s="32" t="n">
        <v>45920</v>
      </c>
      <c r="K105" s="33"/>
      <c r="L105" s="33"/>
      <c r="M105" s="33"/>
      <c r="N105" s="33" t="n">
        <v>3812</v>
      </c>
      <c r="O105" s="33"/>
      <c r="P105" s="33"/>
      <c r="Q105" s="33" t="n">
        <v>2249</v>
      </c>
      <c r="R105" s="33"/>
      <c r="S105" s="33" t="n">
        <v>1595</v>
      </c>
      <c r="T105" s="33"/>
      <c r="U105" s="33" t="n">
        <v>4286</v>
      </c>
      <c r="V105" s="33"/>
      <c r="W105" s="33"/>
      <c r="X105" s="33" t="n">
        <v>1810</v>
      </c>
      <c r="Y105" s="33"/>
      <c r="Z105" s="33"/>
      <c r="AA105" s="34" t="n">
        <f aca="false">SUM(K105:Z105)</f>
        <v>13752</v>
      </c>
      <c r="AB105" s="35" t="n">
        <f aca="false">SUM(AA105/H105)</f>
        <v>11090.3225806452</v>
      </c>
      <c r="AC105" s="36" t="n">
        <f aca="false">AB105/$AB$2</f>
        <v>739.354838709677</v>
      </c>
    </row>
    <row r="106" customFormat="false" ht="19.5" hidden="false" customHeight="true" outlineLevel="0" collapsed="false">
      <c r="A106" s="47" t="s">
        <v>65</v>
      </c>
      <c r="B106" s="45" t="s">
        <v>66</v>
      </c>
      <c r="C106" s="25" t="n">
        <v>905</v>
      </c>
      <c r="D106" s="26" t="s">
        <v>143</v>
      </c>
      <c r="E106" s="27" t="s">
        <v>48</v>
      </c>
      <c r="F106" s="28" t="s">
        <v>49</v>
      </c>
      <c r="G106" s="29" t="n">
        <v>4</v>
      </c>
      <c r="H106" s="30" t="n">
        <v>1.3</v>
      </c>
      <c r="I106" s="31" t="s">
        <v>22</v>
      </c>
      <c r="J106" s="32" t="n">
        <v>45903</v>
      </c>
      <c r="K106" s="33"/>
      <c r="L106" s="33"/>
      <c r="M106" s="33" t="n">
        <v>2977</v>
      </c>
      <c r="N106" s="33"/>
      <c r="O106" s="33"/>
      <c r="P106" s="33"/>
      <c r="Q106" s="33" t="n">
        <v>3227</v>
      </c>
      <c r="R106" s="33"/>
      <c r="S106" s="33"/>
      <c r="T106" s="33"/>
      <c r="U106" s="33" t="n">
        <v>4050</v>
      </c>
      <c r="V106" s="33"/>
      <c r="W106" s="33"/>
      <c r="X106" s="33"/>
      <c r="Y106" s="33" t="n">
        <v>2815</v>
      </c>
      <c r="Z106" s="33"/>
      <c r="AA106" s="34" t="n">
        <f aca="false">SUM(K106:Z106)</f>
        <v>13069</v>
      </c>
      <c r="AB106" s="35" t="n">
        <f aca="false">SUM(AA106/H106)</f>
        <v>10053.0769230769</v>
      </c>
      <c r="AC106" s="36" t="n">
        <f aca="false">AB106/$AB$2</f>
        <v>670.205128205128</v>
      </c>
    </row>
    <row r="107" customFormat="false" ht="19.5" hidden="false" customHeight="true" outlineLevel="0" collapsed="false">
      <c r="A107" s="50" t="s">
        <v>83</v>
      </c>
      <c r="B107" s="45" t="s">
        <v>84</v>
      </c>
      <c r="C107" s="25" t="n">
        <v>203</v>
      </c>
      <c r="D107" s="26" t="s">
        <v>141</v>
      </c>
      <c r="E107" s="27" t="s">
        <v>55</v>
      </c>
      <c r="F107" s="28" t="s">
        <v>33</v>
      </c>
      <c r="G107" s="29" t="s">
        <v>81</v>
      </c>
      <c r="H107" s="30" t="n">
        <v>1.62</v>
      </c>
      <c r="I107" s="41" t="s">
        <v>34</v>
      </c>
      <c r="J107" s="32" t="n">
        <v>45679</v>
      </c>
      <c r="K107" s="33"/>
      <c r="L107" s="33"/>
      <c r="M107" s="33"/>
      <c r="N107" s="33"/>
      <c r="O107" s="33"/>
      <c r="P107" s="33"/>
      <c r="Q107" s="33"/>
      <c r="R107" s="33"/>
      <c r="S107" s="33" t="n">
        <v>452</v>
      </c>
      <c r="T107" s="33"/>
      <c r="U107" s="33"/>
      <c r="V107" s="33"/>
      <c r="W107" s="33" t="n">
        <v>1070</v>
      </c>
      <c r="X107" s="33"/>
      <c r="Y107" s="33" t="n">
        <v>883</v>
      </c>
      <c r="Z107" s="33"/>
      <c r="AA107" s="34" t="n">
        <f aca="false">SUM(K107:Z107)</f>
        <v>2405</v>
      </c>
      <c r="AB107" s="35" t="n">
        <f aca="false">SUM(AA107/H107)</f>
        <v>1484.56790123457</v>
      </c>
      <c r="AC107" s="36" t="n">
        <f aca="false">AB107/$AB$2</f>
        <v>98.9711934156379</v>
      </c>
    </row>
    <row r="108" customFormat="false" ht="19.5" hidden="true" customHeight="true" outlineLevel="0" collapsed="false">
      <c r="A108" s="51" t="s">
        <v>97</v>
      </c>
      <c r="B108" s="45" t="s">
        <v>66</v>
      </c>
      <c r="C108" s="25" t="n">
        <v>901</v>
      </c>
      <c r="D108" s="26" t="s">
        <v>98</v>
      </c>
      <c r="E108" s="27" t="s">
        <v>86</v>
      </c>
      <c r="F108" s="28" t="s">
        <v>87</v>
      </c>
      <c r="G108" s="29" t="n">
        <v>0</v>
      </c>
      <c r="H108" s="30" t="n">
        <v>1</v>
      </c>
      <c r="I108" s="31" t="s">
        <v>22</v>
      </c>
      <c r="J108" s="32" t="n">
        <v>45886</v>
      </c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4" t="n">
        <f aca="false">SUM(K108:Z108)</f>
        <v>0</v>
      </c>
      <c r="AB108" s="35" t="n">
        <f aca="false">SUM(AA108/H108)</f>
        <v>0</v>
      </c>
      <c r="AC108" s="36" t="n">
        <f aca="false">AB108/$AB$2</f>
        <v>0</v>
      </c>
    </row>
    <row r="109" customFormat="false" ht="19.5" hidden="false" customHeight="true" outlineLevel="0" collapsed="false">
      <c r="A109" s="48" t="s">
        <v>70</v>
      </c>
      <c r="B109" s="45" t="s">
        <v>26</v>
      </c>
      <c r="C109" s="25" t="n">
        <v>1013</v>
      </c>
      <c r="D109" s="26" t="s">
        <v>71</v>
      </c>
      <c r="E109" s="27" t="s">
        <v>32</v>
      </c>
      <c r="F109" s="28" t="s">
        <v>33</v>
      </c>
      <c r="G109" s="29" t="s">
        <v>45</v>
      </c>
      <c r="H109" s="30" t="n">
        <v>1.94</v>
      </c>
      <c r="I109" s="31" t="s">
        <v>22</v>
      </c>
      <c r="J109" s="32" t="n">
        <v>45881</v>
      </c>
      <c r="K109" s="33"/>
      <c r="L109" s="33"/>
      <c r="M109" s="33"/>
      <c r="N109" s="33"/>
      <c r="O109" s="33"/>
      <c r="P109" s="33"/>
      <c r="Q109" s="33" t="n">
        <v>7568</v>
      </c>
      <c r="R109" s="33"/>
      <c r="S109" s="33"/>
      <c r="T109" s="33"/>
      <c r="U109" s="33"/>
      <c r="V109" s="33"/>
      <c r="W109" s="33" t="n">
        <v>8954</v>
      </c>
      <c r="X109" s="33"/>
      <c r="Y109" s="33"/>
      <c r="Z109" s="33"/>
      <c r="AA109" s="34" t="n">
        <f aca="false">SUM(K109:Z109)</f>
        <v>16522</v>
      </c>
      <c r="AB109" s="35" t="n">
        <f aca="false">SUM(AA109/H109)</f>
        <v>8516.49484536083</v>
      </c>
      <c r="AC109" s="36" t="n">
        <f aca="false">AB109/$AB$2</f>
        <v>567.766323024055</v>
      </c>
    </row>
    <row r="110" customFormat="false" ht="19.5" hidden="false" customHeight="true" outlineLevel="0" collapsed="false">
      <c r="A110" s="53" t="s">
        <v>106</v>
      </c>
      <c r="B110" s="45" t="s">
        <v>78</v>
      </c>
      <c r="C110" s="25" t="n">
        <v>908</v>
      </c>
      <c r="D110" s="26" t="s">
        <v>144</v>
      </c>
      <c r="E110" s="27" t="s">
        <v>145</v>
      </c>
      <c r="F110" s="28" t="s">
        <v>49</v>
      </c>
      <c r="G110" s="29" t="n">
        <v>3</v>
      </c>
      <c r="H110" s="30" t="n">
        <v>1.25</v>
      </c>
      <c r="I110" s="31" t="s">
        <v>22</v>
      </c>
      <c r="J110" s="32" t="n">
        <v>45898</v>
      </c>
      <c r="K110" s="33" t="n">
        <v>4057</v>
      </c>
      <c r="L110" s="33"/>
      <c r="M110" s="33"/>
      <c r="N110" s="33"/>
      <c r="O110" s="33"/>
      <c r="P110" s="33" t="n">
        <v>3228</v>
      </c>
      <c r="Q110" s="33"/>
      <c r="R110" s="33"/>
      <c r="S110" s="33"/>
      <c r="T110" s="33" t="n">
        <v>4042</v>
      </c>
      <c r="U110" s="33"/>
      <c r="V110" s="33"/>
      <c r="W110" s="33" t="n">
        <v>4221</v>
      </c>
      <c r="X110" s="33"/>
      <c r="Y110" s="33"/>
      <c r="Z110" s="33"/>
      <c r="AA110" s="34" t="n">
        <f aca="false">SUM(K110:Z110)</f>
        <v>15548</v>
      </c>
      <c r="AB110" s="35" t="n">
        <f aca="false">SUM(AA110/H110)</f>
        <v>12438.4</v>
      </c>
      <c r="AC110" s="36" t="n">
        <f aca="false">AB110/$AB$2</f>
        <v>829.226666666667</v>
      </c>
    </row>
    <row r="111" customFormat="false" ht="19.5" hidden="true" customHeight="true" outlineLevel="0" collapsed="false">
      <c r="A111" s="24" t="s">
        <v>42</v>
      </c>
      <c r="B111" s="45" t="s">
        <v>43</v>
      </c>
      <c r="C111" s="25" t="n">
        <v>100</v>
      </c>
      <c r="D111" s="26" t="s">
        <v>44</v>
      </c>
      <c r="E111" s="27" t="s">
        <v>93</v>
      </c>
      <c r="F111" s="28" t="s">
        <v>20</v>
      </c>
      <c r="G111" s="29" t="n">
        <v>0</v>
      </c>
      <c r="H111" s="30" t="n">
        <v>1.9</v>
      </c>
      <c r="I111" s="41" t="s">
        <v>34</v>
      </c>
      <c r="J111" s="32" t="n">
        <v>45754</v>
      </c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4" t="n">
        <f aca="false">SUM(K111:Z111)</f>
        <v>0</v>
      </c>
      <c r="AB111" s="35" t="n">
        <f aca="false">SUM(AA111/H111)</f>
        <v>0</v>
      </c>
      <c r="AC111" s="36" t="n">
        <f aca="false">AB111/$AB$2</f>
        <v>0</v>
      </c>
    </row>
    <row r="112" customFormat="false" ht="19.5" hidden="false" customHeight="true" outlineLevel="0" collapsed="false">
      <c r="A112" s="43" t="s">
        <v>51</v>
      </c>
      <c r="B112" s="45" t="s">
        <v>26</v>
      </c>
      <c r="C112" s="25" t="n">
        <v>301</v>
      </c>
      <c r="D112" s="26" t="s">
        <v>136</v>
      </c>
      <c r="E112" s="27" t="s">
        <v>145</v>
      </c>
      <c r="F112" s="28" t="s">
        <v>49</v>
      </c>
      <c r="G112" s="29" t="s">
        <v>89</v>
      </c>
      <c r="H112" s="30" t="n">
        <v>2</v>
      </c>
      <c r="I112" s="31" t="s">
        <v>22</v>
      </c>
      <c r="J112" s="32" t="n">
        <v>45899</v>
      </c>
      <c r="K112" s="33" t="n">
        <v>2171</v>
      </c>
      <c r="L112" s="33"/>
      <c r="M112" s="33"/>
      <c r="N112" s="33" t="n">
        <v>3479</v>
      </c>
      <c r="O112" s="33"/>
      <c r="P112" s="33"/>
      <c r="Q112" s="33" t="n">
        <v>3537</v>
      </c>
      <c r="R112" s="33"/>
      <c r="S112" s="33"/>
      <c r="T112" s="33"/>
      <c r="U112" s="33" t="n">
        <v>3564</v>
      </c>
      <c r="V112" s="33" t="n">
        <v>2086</v>
      </c>
      <c r="W112" s="33"/>
      <c r="X112" s="33" t="n">
        <v>4586</v>
      </c>
      <c r="Y112" s="33"/>
      <c r="Z112" s="33"/>
      <c r="AA112" s="34" t="n">
        <f aca="false">SUM(K112:Z112)</f>
        <v>19423</v>
      </c>
      <c r="AB112" s="35" t="n">
        <f aca="false">SUM(AA112/H112)</f>
        <v>9711.5</v>
      </c>
      <c r="AC112" s="36" t="n">
        <f aca="false">AB112/$AB$2</f>
        <v>647.433333333333</v>
      </c>
    </row>
    <row r="113" customFormat="false" ht="19.5" hidden="false" customHeight="true" outlineLevel="0" collapsed="false">
      <c r="A113" s="42" t="s">
        <v>46</v>
      </c>
      <c r="B113" s="45" t="s">
        <v>30</v>
      </c>
      <c r="C113" s="25" t="n">
        <v>303</v>
      </c>
      <c r="D113" s="26" t="s">
        <v>47</v>
      </c>
      <c r="E113" s="27" t="s">
        <v>146</v>
      </c>
      <c r="F113" s="28" t="s">
        <v>87</v>
      </c>
      <c r="G113" s="29" t="s">
        <v>89</v>
      </c>
      <c r="H113" s="30" t="n">
        <v>1.75</v>
      </c>
      <c r="I113" s="31" t="s">
        <v>22</v>
      </c>
      <c r="J113" s="32" t="n">
        <v>45875</v>
      </c>
      <c r="K113" s="33"/>
      <c r="L113" s="33"/>
      <c r="M113" s="33"/>
      <c r="N113" s="33"/>
      <c r="O113" s="33"/>
      <c r="P113" s="33" t="n">
        <v>2636</v>
      </c>
      <c r="Q113" s="33"/>
      <c r="R113" s="33"/>
      <c r="S113" s="33"/>
      <c r="T113" s="33"/>
      <c r="U113" s="33"/>
      <c r="V113" s="33"/>
      <c r="W113" s="33" t="n">
        <v>5040</v>
      </c>
      <c r="X113" s="33" t="n">
        <v>6869</v>
      </c>
      <c r="Y113" s="33"/>
      <c r="Z113" s="33"/>
      <c r="AA113" s="34" t="n">
        <f aca="false">SUM(K113:Z113)</f>
        <v>14545</v>
      </c>
      <c r="AB113" s="35" t="n">
        <f aca="false">SUM(AA113/H113)</f>
        <v>8311.42857142857</v>
      </c>
      <c r="AC113" s="36" t="n">
        <f aca="false">AB113/$AB$2</f>
        <v>554.095238095238</v>
      </c>
    </row>
    <row r="114" customFormat="false" ht="19.5" hidden="false" customHeight="true" outlineLevel="0" collapsed="false">
      <c r="A114" s="44" t="s">
        <v>57</v>
      </c>
      <c r="B114" s="45" t="s">
        <v>17</v>
      </c>
      <c r="C114" s="25" t="n">
        <v>704</v>
      </c>
      <c r="D114" s="26" t="s">
        <v>147</v>
      </c>
      <c r="E114" s="27" t="s">
        <v>32</v>
      </c>
      <c r="F114" s="28" t="s">
        <v>33</v>
      </c>
      <c r="G114" s="29" t="s">
        <v>129</v>
      </c>
      <c r="H114" s="30" t="n">
        <v>2</v>
      </c>
      <c r="I114" s="31" t="s">
        <v>22</v>
      </c>
      <c r="J114" s="32" t="n">
        <v>45862</v>
      </c>
      <c r="K114" s="33"/>
      <c r="L114" s="33"/>
      <c r="M114" s="33" t="n">
        <v>1784</v>
      </c>
      <c r="N114" s="33" t="n">
        <v>1514</v>
      </c>
      <c r="O114" s="33"/>
      <c r="P114" s="33"/>
      <c r="Q114" s="33"/>
      <c r="R114" s="33"/>
      <c r="S114" s="33" t="n">
        <v>2046</v>
      </c>
      <c r="T114" s="33"/>
      <c r="U114" s="33"/>
      <c r="V114" s="33"/>
      <c r="W114" s="33" t="n">
        <v>2340</v>
      </c>
      <c r="X114" s="33"/>
      <c r="Y114" s="33"/>
      <c r="Z114" s="33"/>
      <c r="AA114" s="34" t="n">
        <f aca="false">SUM(K114:Z114)</f>
        <v>7684</v>
      </c>
      <c r="AB114" s="35" t="n">
        <f aca="false">SUM(AA114/H114)</f>
        <v>3842</v>
      </c>
      <c r="AC114" s="36" t="n">
        <f aca="false">AB114/$AB$2</f>
        <v>256.133333333333</v>
      </c>
    </row>
    <row r="115" customFormat="false" ht="19.5" hidden="false" customHeight="true" outlineLevel="0" collapsed="false">
      <c r="A115" s="44" t="s">
        <v>57</v>
      </c>
      <c r="B115" s="45" t="s">
        <v>58</v>
      </c>
      <c r="C115" s="25" t="n">
        <v>601</v>
      </c>
      <c r="D115" s="26" t="s">
        <v>119</v>
      </c>
      <c r="E115" s="27" t="s">
        <v>38</v>
      </c>
      <c r="F115" s="28" t="s">
        <v>20</v>
      </c>
      <c r="G115" s="29" t="s">
        <v>88</v>
      </c>
      <c r="H115" s="30" t="n">
        <v>1.4</v>
      </c>
      <c r="I115" s="31" t="s">
        <v>22</v>
      </c>
      <c r="J115" s="32" t="n">
        <v>45885</v>
      </c>
      <c r="K115" s="33" t="n">
        <v>1792</v>
      </c>
      <c r="L115" s="33" t="n">
        <v>1834</v>
      </c>
      <c r="M115" s="33"/>
      <c r="N115" s="33" t="n">
        <v>2634</v>
      </c>
      <c r="O115" s="33"/>
      <c r="P115" s="33"/>
      <c r="Q115" s="33"/>
      <c r="R115" s="33" t="n">
        <v>3585</v>
      </c>
      <c r="S115" s="33"/>
      <c r="T115" s="33"/>
      <c r="U115" s="33"/>
      <c r="V115" s="33" t="n">
        <v>3466</v>
      </c>
      <c r="W115" s="33"/>
      <c r="X115" s="33"/>
      <c r="Y115" s="33"/>
      <c r="Z115" s="33"/>
      <c r="AA115" s="34" t="n">
        <f aca="false">SUM(K115:Z115)</f>
        <v>13311</v>
      </c>
      <c r="AB115" s="35" t="n">
        <f aca="false">SUM(AA115/H115)</f>
        <v>9507.85714285714</v>
      </c>
      <c r="AC115" s="36" t="n">
        <f aca="false">AB115/$AB$2</f>
        <v>633.857142857143</v>
      </c>
    </row>
    <row r="116" customFormat="false" ht="19.5" hidden="false" customHeight="true" outlineLevel="0" collapsed="false">
      <c r="A116" s="43" t="s">
        <v>51</v>
      </c>
      <c r="B116" s="45" t="s">
        <v>26</v>
      </c>
      <c r="C116" s="25" t="n">
        <v>401</v>
      </c>
      <c r="D116" s="26" t="s">
        <v>52</v>
      </c>
      <c r="E116" s="27" t="s">
        <v>19</v>
      </c>
      <c r="F116" s="28" t="s">
        <v>20</v>
      </c>
      <c r="G116" s="29" t="s">
        <v>63</v>
      </c>
      <c r="H116" s="30" t="n">
        <v>1.6</v>
      </c>
      <c r="I116" s="31" t="s">
        <v>22</v>
      </c>
      <c r="J116" s="32" t="n">
        <v>45859</v>
      </c>
      <c r="K116" s="33"/>
      <c r="L116" s="33"/>
      <c r="M116" s="33" t="n">
        <v>1082</v>
      </c>
      <c r="N116" s="33" t="n">
        <v>1216</v>
      </c>
      <c r="O116" s="33"/>
      <c r="P116" s="33"/>
      <c r="Q116" s="33" t="n">
        <v>2856</v>
      </c>
      <c r="R116" s="33"/>
      <c r="S116" s="33"/>
      <c r="T116" s="33"/>
      <c r="U116" s="33" t="n">
        <v>1598</v>
      </c>
      <c r="V116" s="33" t="n">
        <v>1826</v>
      </c>
      <c r="W116" s="33"/>
      <c r="X116" s="33"/>
      <c r="Y116" s="33"/>
      <c r="Z116" s="33"/>
      <c r="AA116" s="34" t="n">
        <f aca="false">SUM(K116:Z116)</f>
        <v>8578</v>
      </c>
      <c r="AB116" s="35" t="n">
        <f aca="false">SUM(AA116/H116)</f>
        <v>5361.25</v>
      </c>
      <c r="AC116" s="36" t="n">
        <f aca="false">AB116/$AB$2</f>
        <v>357.416666666667</v>
      </c>
    </row>
    <row r="117" customFormat="false" ht="19.5" hidden="false" customHeight="true" outlineLevel="0" collapsed="false">
      <c r="A117" s="43" t="s">
        <v>51</v>
      </c>
      <c r="B117" s="45" t="s">
        <v>26</v>
      </c>
      <c r="C117" s="25" t="n">
        <v>301</v>
      </c>
      <c r="D117" s="26" t="s">
        <v>136</v>
      </c>
      <c r="E117" s="27" t="s">
        <v>50</v>
      </c>
      <c r="F117" s="28" t="s">
        <v>49</v>
      </c>
      <c r="G117" s="29" t="s">
        <v>28</v>
      </c>
      <c r="H117" s="30" t="n">
        <v>2</v>
      </c>
      <c r="I117" s="31" t="s">
        <v>22</v>
      </c>
      <c r="J117" s="32" t="n">
        <v>45899</v>
      </c>
      <c r="K117" s="33" t="n">
        <v>2915</v>
      </c>
      <c r="L117" s="33" t="n">
        <v>4534</v>
      </c>
      <c r="M117" s="33"/>
      <c r="N117" s="33"/>
      <c r="O117" s="33" t="n">
        <v>5626</v>
      </c>
      <c r="P117" s="33"/>
      <c r="Q117" s="33"/>
      <c r="R117" s="33" t="n">
        <v>3731</v>
      </c>
      <c r="S117" s="33"/>
      <c r="T117" s="33"/>
      <c r="U117" s="33"/>
      <c r="V117" s="33" t="n">
        <v>5333</v>
      </c>
      <c r="W117" s="33"/>
      <c r="X117" s="33"/>
      <c r="Y117" s="33" t="n">
        <v>5248</v>
      </c>
      <c r="Z117" s="33"/>
      <c r="AA117" s="34" t="n">
        <f aca="false">SUM(K117:Z117)</f>
        <v>27387</v>
      </c>
      <c r="AB117" s="35" t="n">
        <f aca="false">SUM(AA117/H117)</f>
        <v>13693.5</v>
      </c>
      <c r="AC117" s="36" t="n">
        <f aca="false">AB117/$AB$2</f>
        <v>912.9</v>
      </c>
    </row>
    <row r="118" customFormat="false" ht="19.5" hidden="false" customHeight="true" outlineLevel="0" collapsed="false">
      <c r="A118" s="53" t="s">
        <v>106</v>
      </c>
      <c r="B118" s="45" t="s">
        <v>78</v>
      </c>
      <c r="C118" s="25" t="n">
        <v>908</v>
      </c>
      <c r="D118" s="26" t="s">
        <v>144</v>
      </c>
      <c r="E118" s="27" t="s">
        <v>148</v>
      </c>
      <c r="F118" s="28" t="s">
        <v>33</v>
      </c>
      <c r="G118" s="29" t="s">
        <v>45</v>
      </c>
      <c r="H118" s="30" t="n">
        <v>1.7</v>
      </c>
      <c r="I118" s="31" t="s">
        <v>22</v>
      </c>
      <c r="J118" s="32" t="n">
        <v>45884</v>
      </c>
      <c r="K118" s="33"/>
      <c r="L118" s="33"/>
      <c r="M118" s="33"/>
      <c r="N118" s="33"/>
      <c r="O118" s="33"/>
      <c r="P118" s="33"/>
      <c r="Q118" s="33"/>
      <c r="R118" s="33" t="n">
        <v>4807</v>
      </c>
      <c r="S118" s="33"/>
      <c r="T118" s="33"/>
      <c r="U118" s="33"/>
      <c r="V118" s="33"/>
      <c r="W118" s="33"/>
      <c r="X118" s="33"/>
      <c r="Y118" s="33"/>
      <c r="Z118" s="33"/>
      <c r="AA118" s="34" t="n">
        <f aca="false">SUM(K118:Z118)</f>
        <v>4807</v>
      </c>
      <c r="AB118" s="35" t="n">
        <f aca="false">SUM(AA118/H118)</f>
        <v>2827.64705882353</v>
      </c>
      <c r="AC118" s="36" t="n">
        <f aca="false">AB118/$AB$2</f>
        <v>188.509803921569</v>
      </c>
    </row>
    <row r="119" customFormat="false" ht="19.5" hidden="true" customHeight="true" outlineLevel="0" collapsed="false">
      <c r="A119" s="46" t="s">
        <v>60</v>
      </c>
      <c r="B119" s="45" t="s">
        <v>17</v>
      </c>
      <c r="C119" s="25" t="n">
        <v>802</v>
      </c>
      <c r="D119" s="26" t="s">
        <v>61</v>
      </c>
      <c r="E119" s="27" t="s">
        <v>19</v>
      </c>
      <c r="F119" s="28" t="s">
        <v>20</v>
      </c>
      <c r="G119" s="29" t="n">
        <v>3</v>
      </c>
      <c r="H119" s="30" t="n">
        <v>1</v>
      </c>
      <c r="I119" s="31" t="s">
        <v>22</v>
      </c>
      <c r="J119" s="32" t="n">
        <v>45867</v>
      </c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4" t="n">
        <f aca="false">SUM(K119:Z119)</f>
        <v>0</v>
      </c>
      <c r="AB119" s="35" t="n">
        <f aca="false">SUM(AA119/H119)</f>
        <v>0</v>
      </c>
      <c r="AC119" s="36" t="n">
        <f aca="false">AB119/$AB$2</f>
        <v>0</v>
      </c>
    </row>
    <row r="120" customFormat="false" ht="19.5" hidden="false" customHeight="true" outlineLevel="0" collapsed="false">
      <c r="A120" s="47" t="s">
        <v>65</v>
      </c>
      <c r="B120" s="45" t="s">
        <v>66</v>
      </c>
      <c r="C120" s="25" t="n">
        <v>903</v>
      </c>
      <c r="D120" s="26" t="s">
        <v>67</v>
      </c>
      <c r="E120" s="27" t="s">
        <v>138</v>
      </c>
      <c r="F120" s="28" t="s">
        <v>49</v>
      </c>
      <c r="G120" s="29" t="n">
        <v>13</v>
      </c>
      <c r="H120" s="30" t="n">
        <v>1.7</v>
      </c>
      <c r="I120" s="31" t="s">
        <v>22</v>
      </c>
      <c r="J120" s="32" t="n">
        <v>45874</v>
      </c>
      <c r="K120" s="33" t="n">
        <v>5956</v>
      </c>
      <c r="L120" s="33"/>
      <c r="M120" s="33"/>
      <c r="N120" s="33"/>
      <c r="O120" s="33" t="n">
        <v>5284</v>
      </c>
      <c r="P120" s="33"/>
      <c r="Q120" s="33"/>
      <c r="R120" s="33"/>
      <c r="S120" s="33" t="n">
        <v>5802</v>
      </c>
      <c r="T120" s="33"/>
      <c r="U120" s="33"/>
      <c r="V120" s="33"/>
      <c r="W120" s="33" t="n">
        <v>5990</v>
      </c>
      <c r="X120" s="33"/>
      <c r="Y120" s="33"/>
      <c r="Z120" s="33"/>
      <c r="AA120" s="34" t="n">
        <f aca="false">SUM(K120:Z120)</f>
        <v>23032</v>
      </c>
      <c r="AB120" s="35" t="n">
        <f aca="false">SUM(AA120/H120)</f>
        <v>13548.2352941176</v>
      </c>
      <c r="AC120" s="36" t="n">
        <f aca="false">AB120/$AB$2</f>
        <v>903.21568627451</v>
      </c>
    </row>
    <row r="121" customFormat="false" ht="19.5" hidden="false" customHeight="true" outlineLevel="0" collapsed="false">
      <c r="A121" s="46" t="s">
        <v>60</v>
      </c>
      <c r="B121" s="45" t="s">
        <v>17</v>
      </c>
      <c r="C121" s="25" t="n">
        <v>703</v>
      </c>
      <c r="D121" s="26" t="s">
        <v>149</v>
      </c>
      <c r="E121" s="27" t="s">
        <v>32</v>
      </c>
      <c r="F121" s="28" t="s">
        <v>33</v>
      </c>
      <c r="G121" s="29" t="s">
        <v>150</v>
      </c>
      <c r="H121" s="30" t="n">
        <v>4</v>
      </c>
      <c r="I121" s="31" t="s">
        <v>22</v>
      </c>
      <c r="J121" s="32" t="n">
        <v>45890</v>
      </c>
      <c r="K121" s="33" t="n">
        <v>2295</v>
      </c>
      <c r="L121" s="33" t="n">
        <v>4225</v>
      </c>
      <c r="M121" s="33"/>
      <c r="N121" s="33" t="n">
        <v>4442</v>
      </c>
      <c r="O121" s="33" t="n">
        <v>3603</v>
      </c>
      <c r="P121" s="33" t="n">
        <v>3450</v>
      </c>
      <c r="Q121" s="33" t="n">
        <v>2678</v>
      </c>
      <c r="R121" s="33" t="n">
        <v>3518</v>
      </c>
      <c r="S121" s="33"/>
      <c r="T121" s="33" t="n">
        <v>4800</v>
      </c>
      <c r="U121" s="33" t="n">
        <v>3731</v>
      </c>
      <c r="V121" s="33"/>
      <c r="W121" s="33" t="n">
        <v>4047</v>
      </c>
      <c r="X121" s="33" t="n">
        <v>3863</v>
      </c>
      <c r="Y121" s="33" t="n">
        <v>5023</v>
      </c>
      <c r="Z121" s="33"/>
      <c r="AA121" s="34" t="n">
        <f aca="false">SUM(K121:Z121)</f>
        <v>45675</v>
      </c>
      <c r="AB121" s="35" t="n">
        <f aca="false">SUM(AA121/H121)</f>
        <v>11418.75</v>
      </c>
      <c r="AC121" s="36" t="n">
        <f aca="false">AB121/$AB$2</f>
        <v>761.25</v>
      </c>
    </row>
    <row r="122" customFormat="false" ht="19.5" hidden="false" customHeight="true" outlineLevel="0" collapsed="false">
      <c r="A122" s="66" t="s">
        <v>16</v>
      </c>
      <c r="B122" s="45" t="s">
        <v>17</v>
      </c>
      <c r="C122" s="25" t="n">
        <v>701</v>
      </c>
      <c r="D122" s="26" t="s">
        <v>18</v>
      </c>
      <c r="E122" s="27" t="s">
        <v>151</v>
      </c>
      <c r="F122" s="28" t="s">
        <v>87</v>
      </c>
      <c r="G122" s="29" t="n">
        <v>9</v>
      </c>
      <c r="H122" s="30" t="n">
        <v>1.1</v>
      </c>
      <c r="I122" s="31" t="s">
        <v>22</v>
      </c>
      <c r="J122" s="67" t="n">
        <v>45875</v>
      </c>
      <c r="K122" s="33"/>
      <c r="L122" s="33"/>
      <c r="M122" s="33"/>
      <c r="N122" s="33" t="n">
        <v>898</v>
      </c>
      <c r="O122" s="33" t="n">
        <v>2046</v>
      </c>
      <c r="P122" s="33" t="n">
        <v>1981</v>
      </c>
      <c r="Q122" s="33"/>
      <c r="R122" s="33" t="n">
        <v>1516</v>
      </c>
      <c r="S122" s="33" t="n">
        <v>1845</v>
      </c>
      <c r="T122" s="33"/>
      <c r="U122" s="33"/>
      <c r="V122" s="33"/>
      <c r="W122" s="33"/>
      <c r="X122" s="33"/>
      <c r="Y122" s="33"/>
      <c r="Z122" s="33"/>
      <c r="AA122" s="34" t="n">
        <f aca="false">SUM(K122:Z122)</f>
        <v>8286</v>
      </c>
      <c r="AB122" s="35" t="n">
        <f aca="false">SUM(AA122/H122)</f>
        <v>7532.72727272727</v>
      </c>
      <c r="AC122" s="36" t="n">
        <f aca="false">AB122/$AB$2</f>
        <v>502.181818181818</v>
      </c>
    </row>
    <row r="123" customFormat="false" ht="19.5" hidden="false" customHeight="true" outlineLevel="0" collapsed="false">
      <c r="A123" s="42" t="s">
        <v>46</v>
      </c>
      <c r="B123" s="45" t="s">
        <v>30</v>
      </c>
      <c r="C123" s="25" t="n">
        <v>305</v>
      </c>
      <c r="D123" s="26" t="s">
        <v>152</v>
      </c>
      <c r="E123" s="27" t="s">
        <v>153</v>
      </c>
      <c r="F123" s="28" t="s">
        <v>87</v>
      </c>
      <c r="G123" s="29" t="n">
        <v>5</v>
      </c>
      <c r="H123" s="30" t="n">
        <v>1</v>
      </c>
      <c r="I123" s="31" t="s">
        <v>22</v>
      </c>
      <c r="J123" s="67" t="n">
        <v>46003</v>
      </c>
      <c r="K123" s="33" t="n">
        <v>597</v>
      </c>
      <c r="L123" s="33"/>
      <c r="M123" s="33"/>
      <c r="N123" s="33" t="n">
        <v>6746</v>
      </c>
      <c r="O123" s="33"/>
      <c r="P123" s="33"/>
      <c r="Q123" s="33" t="n">
        <v>4622</v>
      </c>
      <c r="R123" s="33" t="n">
        <v>2067</v>
      </c>
      <c r="S123" s="33"/>
      <c r="T123" s="33"/>
      <c r="U123" s="33" t="n">
        <v>4780</v>
      </c>
      <c r="V123" s="33" t="n">
        <v>1699</v>
      </c>
      <c r="W123" s="33"/>
      <c r="X123" s="33"/>
      <c r="Y123" s="33" t="n">
        <v>5067</v>
      </c>
      <c r="Z123" s="33"/>
      <c r="AA123" s="34" t="n">
        <f aca="false">SUM(K123:Z123)</f>
        <v>25578</v>
      </c>
      <c r="AB123" s="35" t="n">
        <f aca="false">SUM(AA123/H123)</f>
        <v>25578</v>
      </c>
      <c r="AC123" s="36" t="n">
        <f aca="false">AB123/$AB$2</f>
        <v>1705.2</v>
      </c>
    </row>
    <row r="124" customFormat="false" ht="19.5" hidden="false" customHeight="true" outlineLevel="0" collapsed="false">
      <c r="A124" s="46" t="s">
        <v>60</v>
      </c>
      <c r="B124" s="45" t="s">
        <v>17</v>
      </c>
      <c r="C124" s="25" t="n">
        <v>705</v>
      </c>
      <c r="D124" s="26" t="s">
        <v>154</v>
      </c>
      <c r="E124" s="27" t="s">
        <v>32</v>
      </c>
      <c r="F124" s="28" t="s">
        <v>33</v>
      </c>
      <c r="G124" s="29" t="s">
        <v>129</v>
      </c>
      <c r="H124" s="30" t="n">
        <v>1.82</v>
      </c>
      <c r="I124" s="31" t="s">
        <v>22</v>
      </c>
      <c r="J124" s="67" t="n">
        <v>45874</v>
      </c>
      <c r="K124" s="33"/>
      <c r="L124" s="33" t="n">
        <v>1860</v>
      </c>
      <c r="M124" s="33"/>
      <c r="N124" s="33"/>
      <c r="O124" s="33" t="n">
        <v>1202</v>
      </c>
      <c r="P124" s="33" t="n">
        <v>2708</v>
      </c>
      <c r="Q124" s="33"/>
      <c r="R124" s="33"/>
      <c r="S124" s="33" t="n">
        <v>1610</v>
      </c>
      <c r="T124" s="33"/>
      <c r="U124" s="33" t="n">
        <v>847</v>
      </c>
      <c r="V124" s="33"/>
      <c r="W124" s="33"/>
      <c r="X124" s="33" t="n">
        <v>2604</v>
      </c>
      <c r="Y124" s="33"/>
      <c r="Z124" s="33"/>
      <c r="AA124" s="34" t="n">
        <f aca="false">SUM(K124:Z124)</f>
        <v>10831</v>
      </c>
      <c r="AB124" s="35" t="n">
        <f aca="false">SUM(AA124/H124)</f>
        <v>5951.0989010989</v>
      </c>
      <c r="AC124" s="36" t="n">
        <f aca="false">AB124/$AB$2</f>
        <v>396.739926739927</v>
      </c>
    </row>
    <row r="125" customFormat="false" ht="19.5" hidden="false" customHeight="true" outlineLevel="0" collapsed="false">
      <c r="A125" s="68" t="s">
        <v>155</v>
      </c>
      <c r="B125" s="45" t="s">
        <v>103</v>
      </c>
      <c r="C125" s="25" t="n">
        <v>1012</v>
      </c>
      <c r="D125" s="26" t="s">
        <v>156</v>
      </c>
      <c r="E125" s="27" t="s">
        <v>23</v>
      </c>
      <c r="F125" s="28" t="s">
        <v>20</v>
      </c>
      <c r="G125" s="29" t="s">
        <v>99</v>
      </c>
      <c r="H125" s="30" t="n">
        <v>1.66</v>
      </c>
      <c r="I125" s="31" t="s">
        <v>22</v>
      </c>
      <c r="J125" s="67" t="n">
        <v>45966</v>
      </c>
      <c r="K125" s="33" t="n">
        <v>2302</v>
      </c>
      <c r="L125" s="33" t="n">
        <v>2468</v>
      </c>
      <c r="M125" s="33"/>
      <c r="N125" s="33" t="n">
        <v>2317</v>
      </c>
      <c r="O125" s="33" t="n">
        <v>2832</v>
      </c>
      <c r="P125" s="33" t="n">
        <v>4449</v>
      </c>
      <c r="Q125" s="33" t="n">
        <v>3320</v>
      </c>
      <c r="R125" s="33"/>
      <c r="S125" s="33"/>
      <c r="T125" s="33" t="n">
        <v>2097</v>
      </c>
      <c r="U125" s="33" t="n">
        <v>2138</v>
      </c>
      <c r="V125" s="33" t="n">
        <v>3692</v>
      </c>
      <c r="W125" s="33" t="n">
        <v>3558</v>
      </c>
      <c r="X125" s="33" t="n">
        <v>3302</v>
      </c>
      <c r="Y125" s="33"/>
      <c r="Z125" s="33"/>
      <c r="AA125" s="34" t="n">
        <f aca="false">SUM(K125:Z125)</f>
        <v>32475</v>
      </c>
      <c r="AB125" s="35" t="n">
        <f aca="false">SUM(AA125/H125)</f>
        <v>19563.2530120482</v>
      </c>
      <c r="AC125" s="36" t="n">
        <f aca="false">AB125/$AB$2</f>
        <v>1304.21686746988</v>
      </c>
    </row>
    <row r="126" customFormat="false" ht="19.5" hidden="false" customHeight="true" outlineLevel="0" collapsed="false">
      <c r="A126" s="37" t="s">
        <v>25</v>
      </c>
      <c r="B126" s="45" t="s">
        <v>26</v>
      </c>
      <c r="C126" s="25" t="n">
        <v>402</v>
      </c>
      <c r="D126" s="26" t="s">
        <v>94</v>
      </c>
      <c r="E126" s="27" t="s">
        <v>112</v>
      </c>
      <c r="F126" s="28" t="s">
        <v>33</v>
      </c>
      <c r="G126" s="29" t="s">
        <v>28</v>
      </c>
      <c r="H126" s="30" t="n">
        <v>2</v>
      </c>
      <c r="I126" s="69" t="s">
        <v>22</v>
      </c>
      <c r="J126" s="67" t="n">
        <v>45902</v>
      </c>
      <c r="K126" s="33" t="n">
        <v>2766</v>
      </c>
      <c r="L126" s="33"/>
      <c r="M126" s="33" t="n">
        <v>1600</v>
      </c>
      <c r="N126" s="33"/>
      <c r="O126" s="33" t="n">
        <v>4754</v>
      </c>
      <c r="P126" s="33"/>
      <c r="Q126" s="33"/>
      <c r="R126" s="33" t="n">
        <v>3334</v>
      </c>
      <c r="S126" s="33"/>
      <c r="T126" s="33"/>
      <c r="U126" s="33" t="n">
        <v>3801</v>
      </c>
      <c r="V126" s="33" t="n">
        <v>1426</v>
      </c>
      <c r="W126" s="33"/>
      <c r="X126" s="33" t="n">
        <v>2142</v>
      </c>
      <c r="Y126" s="33" t="n">
        <v>2242</v>
      </c>
      <c r="Z126" s="33"/>
      <c r="AA126" s="34" t="n">
        <f aca="false">SUM(K126:Z126)</f>
        <v>22065</v>
      </c>
      <c r="AB126" s="35" t="n">
        <f aca="false">SUM(AA126/H126)</f>
        <v>11032.5</v>
      </c>
      <c r="AC126" s="36" t="n">
        <f aca="false">AB126/$AB$2</f>
        <v>735.5</v>
      </c>
    </row>
    <row r="127" customFormat="false" ht="19.5" hidden="false" customHeight="true" outlineLevel="0" collapsed="false">
      <c r="A127" s="46" t="s">
        <v>60</v>
      </c>
      <c r="B127" s="45" t="s">
        <v>17</v>
      </c>
      <c r="C127" s="25" t="n">
        <v>705</v>
      </c>
      <c r="D127" s="26" t="s">
        <v>154</v>
      </c>
      <c r="E127" s="27" t="s">
        <v>112</v>
      </c>
      <c r="F127" s="28" t="s">
        <v>33</v>
      </c>
      <c r="G127" s="29" t="n">
        <v>2</v>
      </c>
      <c r="H127" s="30" t="n">
        <v>0.88</v>
      </c>
      <c r="I127" s="31" t="s">
        <v>22</v>
      </c>
      <c r="J127" s="32" t="n">
        <v>45862</v>
      </c>
      <c r="K127" s="33" t="n">
        <v>1840</v>
      </c>
      <c r="L127" s="33"/>
      <c r="M127" s="33" t="n">
        <v>1070</v>
      </c>
      <c r="N127" s="33"/>
      <c r="O127" s="33"/>
      <c r="P127" s="33"/>
      <c r="Q127" s="33" t="n">
        <v>1390</v>
      </c>
      <c r="R127" s="33"/>
      <c r="S127" s="33"/>
      <c r="T127" s="33"/>
      <c r="U127" s="33"/>
      <c r="V127" s="33" t="n">
        <v>1294</v>
      </c>
      <c r="W127" s="33" t="n">
        <v>452</v>
      </c>
      <c r="X127" s="33"/>
      <c r="Y127" s="33" t="n">
        <v>1150</v>
      </c>
      <c r="Z127" s="33"/>
      <c r="AA127" s="34" t="n">
        <f aca="false">SUM(K127:Z127)</f>
        <v>7196</v>
      </c>
      <c r="AB127" s="35" t="n">
        <f aca="false">SUM(AA127/H127)</f>
        <v>8177.27272727273</v>
      </c>
      <c r="AC127" s="36" t="n">
        <f aca="false">AB127/$AB$2</f>
        <v>545.151515151515</v>
      </c>
    </row>
    <row r="128" customFormat="false" ht="19.5" hidden="false" customHeight="true" outlineLevel="0" collapsed="false">
      <c r="A128" s="50" t="s">
        <v>83</v>
      </c>
      <c r="B128" s="45" t="s">
        <v>84</v>
      </c>
      <c r="C128" s="25" t="n">
        <v>201</v>
      </c>
      <c r="D128" s="26" t="s">
        <v>124</v>
      </c>
      <c r="E128" s="27" t="s">
        <v>32</v>
      </c>
      <c r="F128" s="28" t="s">
        <v>33</v>
      </c>
      <c r="G128" s="29" t="n">
        <v>18</v>
      </c>
      <c r="H128" s="30" t="n">
        <v>1.25</v>
      </c>
      <c r="I128" s="31" t="s">
        <v>22</v>
      </c>
      <c r="J128" s="32" t="n">
        <v>45862</v>
      </c>
      <c r="K128" s="33"/>
      <c r="L128" s="33"/>
      <c r="M128" s="33"/>
      <c r="N128" s="33" t="n">
        <v>2543</v>
      </c>
      <c r="O128" s="33"/>
      <c r="P128" s="33"/>
      <c r="Q128" s="33"/>
      <c r="R128" s="33" t="n">
        <v>1413</v>
      </c>
      <c r="S128" s="33"/>
      <c r="T128" s="33"/>
      <c r="U128" s="33"/>
      <c r="V128" s="33"/>
      <c r="W128" s="33"/>
      <c r="X128" s="33" t="n">
        <v>265</v>
      </c>
      <c r="Y128" s="33" t="n">
        <v>1484</v>
      </c>
      <c r="Z128" s="33"/>
      <c r="AA128" s="34" t="n">
        <f aca="false">SUM(K128:Z128)</f>
        <v>5705</v>
      </c>
      <c r="AB128" s="35" t="n">
        <f aca="false">SUM(AA128/H128)</f>
        <v>4564</v>
      </c>
      <c r="AC128" s="36" t="n">
        <f aca="false">AB128/$AB$2</f>
        <v>304.266666666667</v>
      </c>
    </row>
    <row r="129" customFormat="false" ht="19.5" hidden="false" customHeight="true" outlineLevel="0" collapsed="false">
      <c r="A129" s="50" t="s">
        <v>83</v>
      </c>
      <c r="B129" s="45" t="s">
        <v>84</v>
      </c>
      <c r="C129" s="25" t="n">
        <v>205</v>
      </c>
      <c r="D129" s="26" t="s">
        <v>128</v>
      </c>
      <c r="E129" s="27" t="s">
        <v>48</v>
      </c>
      <c r="F129" s="28" t="s">
        <v>49</v>
      </c>
      <c r="G129" s="29" t="n">
        <v>12</v>
      </c>
      <c r="H129" s="30" t="n">
        <v>1.5</v>
      </c>
      <c r="I129" s="31" t="s">
        <v>22</v>
      </c>
      <c r="J129" s="32" t="n">
        <v>45867</v>
      </c>
      <c r="K129" s="33" t="n">
        <v>2102</v>
      </c>
      <c r="L129" s="33"/>
      <c r="M129" s="33"/>
      <c r="N129" s="33"/>
      <c r="O129" s="33"/>
      <c r="P129" s="33" t="n">
        <v>1214</v>
      </c>
      <c r="Q129" s="33"/>
      <c r="R129" s="33"/>
      <c r="S129" s="33"/>
      <c r="T129" s="33"/>
      <c r="U129" s="33"/>
      <c r="V129" s="33" t="n">
        <v>1748</v>
      </c>
      <c r="W129" s="33"/>
      <c r="X129" s="33"/>
      <c r="Y129" s="33"/>
      <c r="Z129" s="33"/>
      <c r="AA129" s="34" t="n">
        <f aca="false">SUM(K129:Z129)</f>
        <v>5064</v>
      </c>
      <c r="AB129" s="35" t="n">
        <f aca="false">SUM(AA129/H129)</f>
        <v>3376</v>
      </c>
      <c r="AC129" s="36" t="n">
        <f aca="false">AB129/$AB$2</f>
        <v>225.066666666667</v>
      </c>
    </row>
    <row r="130" customFormat="false" ht="19.5" hidden="false" customHeight="true" outlineLevel="0" collapsed="false">
      <c r="A130" s="44" t="s">
        <v>57</v>
      </c>
      <c r="B130" s="45" t="s">
        <v>58</v>
      </c>
      <c r="C130" s="25" t="n">
        <v>601</v>
      </c>
      <c r="D130" s="26" t="s">
        <v>119</v>
      </c>
      <c r="E130" s="27" t="s">
        <v>35</v>
      </c>
      <c r="F130" s="28" t="s">
        <v>20</v>
      </c>
      <c r="G130" s="29" t="n">
        <v>10</v>
      </c>
      <c r="H130" s="30" t="n">
        <v>1</v>
      </c>
      <c r="I130" s="31" t="s">
        <v>22</v>
      </c>
      <c r="J130" s="32" t="n">
        <v>45858</v>
      </c>
      <c r="K130" s="33"/>
      <c r="L130" s="33"/>
      <c r="M130" s="33" t="n">
        <v>1178</v>
      </c>
      <c r="N130" s="33"/>
      <c r="O130" s="33" t="n">
        <v>1062</v>
      </c>
      <c r="P130" s="33"/>
      <c r="Q130" s="33"/>
      <c r="R130" s="33" t="n">
        <v>673</v>
      </c>
      <c r="S130" s="33"/>
      <c r="T130" s="33"/>
      <c r="U130" s="33" t="n">
        <v>602</v>
      </c>
      <c r="V130" s="33"/>
      <c r="W130" s="33"/>
      <c r="X130" s="33" t="n">
        <v>600</v>
      </c>
      <c r="Y130" s="33"/>
      <c r="Z130" s="33"/>
      <c r="AA130" s="34" t="n">
        <f aca="false">SUM(K130:Z130)</f>
        <v>4115</v>
      </c>
      <c r="AB130" s="35" t="n">
        <f aca="false">SUM(AA130/H130)</f>
        <v>4115</v>
      </c>
      <c r="AC130" s="36" t="n">
        <f aca="false">AB130/$AB$2</f>
        <v>274.333333333333</v>
      </c>
    </row>
    <row r="131" customFormat="false" ht="19.5" hidden="false" customHeight="true" outlineLevel="0" collapsed="false">
      <c r="A131" s="44" t="s">
        <v>57</v>
      </c>
      <c r="B131" s="45" t="s">
        <v>17</v>
      </c>
      <c r="C131" s="25" t="n">
        <v>704</v>
      </c>
      <c r="D131" s="26" t="s">
        <v>147</v>
      </c>
      <c r="E131" s="27" t="s">
        <v>23</v>
      </c>
      <c r="F131" s="28" t="s">
        <v>20</v>
      </c>
      <c r="G131" s="29" t="s">
        <v>45</v>
      </c>
      <c r="H131" s="30" t="n">
        <v>2</v>
      </c>
      <c r="I131" s="31" t="s">
        <v>22</v>
      </c>
      <c r="J131" s="32" t="n">
        <v>45868</v>
      </c>
      <c r="K131" s="33" t="n">
        <v>1666</v>
      </c>
      <c r="L131" s="33"/>
      <c r="M131" s="33"/>
      <c r="N131" s="33"/>
      <c r="O131" s="33" t="n">
        <v>1384</v>
      </c>
      <c r="P131" s="33" t="n">
        <v>1349</v>
      </c>
      <c r="Q131" s="33" t="n">
        <v>624</v>
      </c>
      <c r="R131" s="33"/>
      <c r="S131" s="33"/>
      <c r="T131" s="33"/>
      <c r="U131" s="33" t="n">
        <v>1810</v>
      </c>
      <c r="V131" s="33" t="n">
        <v>1260</v>
      </c>
      <c r="W131" s="33"/>
      <c r="X131" s="33"/>
      <c r="Y131" s="33"/>
      <c r="Z131" s="33"/>
      <c r="AA131" s="34" t="n">
        <f aca="false">SUM(K131:Z131)</f>
        <v>8093</v>
      </c>
      <c r="AB131" s="35" t="n">
        <f aca="false">SUM(AA131/H131)</f>
        <v>4046.5</v>
      </c>
      <c r="AC131" s="36" t="n">
        <f aca="false">AB131/$AB$2</f>
        <v>269.766666666667</v>
      </c>
    </row>
    <row r="132" customFormat="false" ht="19.5" hidden="false" customHeight="true" outlineLevel="0" collapsed="false">
      <c r="A132" s="46" t="s">
        <v>60</v>
      </c>
      <c r="B132" s="45" t="s">
        <v>17</v>
      </c>
      <c r="C132" s="25" t="n">
        <v>705</v>
      </c>
      <c r="D132" s="26" t="s">
        <v>154</v>
      </c>
      <c r="E132" s="27" t="s">
        <v>32</v>
      </c>
      <c r="F132" s="28" t="s">
        <v>33</v>
      </c>
      <c r="G132" s="29" t="s">
        <v>24</v>
      </c>
      <c r="H132" s="30" t="n">
        <v>1.52</v>
      </c>
      <c r="I132" s="31" t="s">
        <v>22</v>
      </c>
      <c r="J132" s="32" t="n">
        <v>45860</v>
      </c>
      <c r="K132" s="33"/>
      <c r="L132" s="33"/>
      <c r="M132" s="33" t="n">
        <v>2208</v>
      </c>
      <c r="N132" s="33"/>
      <c r="O132" s="33"/>
      <c r="P132" s="33" t="n">
        <v>903</v>
      </c>
      <c r="Q132" s="33" t="n">
        <v>1220</v>
      </c>
      <c r="R132" s="33"/>
      <c r="S132" s="33"/>
      <c r="T132" s="33" t="n">
        <v>2418</v>
      </c>
      <c r="U132" s="33" t="n">
        <v>1101</v>
      </c>
      <c r="V132" s="33"/>
      <c r="W132" s="33"/>
      <c r="X132" s="33"/>
      <c r="Y132" s="33" t="n">
        <v>1296</v>
      </c>
      <c r="Z132" s="33"/>
      <c r="AA132" s="34" t="n">
        <f aca="false">SUM(K132:Z132)</f>
        <v>9146</v>
      </c>
      <c r="AB132" s="35" t="n">
        <f aca="false">SUM(AA132/H132)</f>
        <v>6017.1052631579</v>
      </c>
      <c r="AC132" s="36" t="n">
        <f aca="false">AB132/$AB$2</f>
        <v>401.140350877193</v>
      </c>
    </row>
    <row r="133" customFormat="false" ht="19.5" hidden="false" customHeight="true" outlineLevel="0" collapsed="false">
      <c r="A133" s="47" t="s">
        <v>65</v>
      </c>
      <c r="B133" s="45" t="s">
        <v>66</v>
      </c>
      <c r="C133" s="25" t="n">
        <v>904</v>
      </c>
      <c r="D133" s="26" t="s">
        <v>157</v>
      </c>
      <c r="E133" s="27" t="s">
        <v>86</v>
      </c>
      <c r="F133" s="28" t="s">
        <v>87</v>
      </c>
      <c r="G133" s="29" t="s">
        <v>120</v>
      </c>
      <c r="H133" s="30" t="n">
        <v>2.75</v>
      </c>
      <c r="I133" s="31" t="s">
        <v>22</v>
      </c>
      <c r="J133" s="32" t="n">
        <v>45869</v>
      </c>
      <c r="K133" s="33"/>
      <c r="L133" s="33"/>
      <c r="M133" s="33"/>
      <c r="N133" s="33"/>
      <c r="O133" s="33"/>
      <c r="P133" s="33" t="n">
        <v>6654</v>
      </c>
      <c r="Q133" s="33"/>
      <c r="R133" s="33" t="n">
        <v>4211</v>
      </c>
      <c r="S133" s="33" t="n">
        <v>4404</v>
      </c>
      <c r="T133" s="33"/>
      <c r="U133" s="33" t="n">
        <v>3096</v>
      </c>
      <c r="V133" s="33"/>
      <c r="W133" s="33"/>
      <c r="X133" s="33"/>
      <c r="Y133" s="33" t="n">
        <v>1718</v>
      </c>
      <c r="Z133" s="33"/>
      <c r="AA133" s="34" t="n">
        <f aca="false">SUM(K133:Z133)</f>
        <v>20083</v>
      </c>
      <c r="AB133" s="35" t="n">
        <f aca="false">SUM(AA133/H133)</f>
        <v>7302.90909090909</v>
      </c>
      <c r="AC133" s="36" t="n">
        <f aca="false">AB133/$AB$2</f>
        <v>486.860606060606</v>
      </c>
    </row>
    <row r="134" customFormat="false" ht="19.5" hidden="false" customHeight="true" outlineLevel="0" collapsed="false">
      <c r="A134" s="47" t="s">
        <v>65</v>
      </c>
      <c r="B134" s="45" t="s">
        <v>66</v>
      </c>
      <c r="C134" s="25" t="n">
        <v>906</v>
      </c>
      <c r="D134" s="26" t="s">
        <v>158</v>
      </c>
      <c r="E134" s="27" t="s">
        <v>23</v>
      </c>
      <c r="F134" s="28" t="s">
        <v>20</v>
      </c>
      <c r="G134" s="29" t="s">
        <v>81</v>
      </c>
      <c r="H134" s="30" t="n">
        <v>1.8</v>
      </c>
      <c r="I134" s="31" t="s">
        <v>22</v>
      </c>
      <c r="J134" s="32" t="n">
        <v>45915</v>
      </c>
      <c r="K134" s="33"/>
      <c r="L134" s="33" t="n">
        <v>7078</v>
      </c>
      <c r="M134" s="33"/>
      <c r="N134" s="33"/>
      <c r="O134" s="33"/>
      <c r="P134" s="33"/>
      <c r="Q134" s="33"/>
      <c r="R134" s="33" t="n">
        <v>7337</v>
      </c>
      <c r="S134" s="33"/>
      <c r="T134" s="33"/>
      <c r="U134" s="33"/>
      <c r="V134" s="33"/>
      <c r="W134" s="33" t="n">
        <v>3360</v>
      </c>
      <c r="X134" s="33" t="n">
        <v>5588</v>
      </c>
      <c r="Y134" s="33"/>
      <c r="Z134" s="33"/>
      <c r="AA134" s="34" t="n">
        <f aca="false">SUM(K134:Z134)</f>
        <v>23363</v>
      </c>
      <c r="AB134" s="35" t="n">
        <f aca="false">SUM(AA134/H134)</f>
        <v>12979.4444444444</v>
      </c>
      <c r="AC134" s="36" t="n">
        <f aca="false">AB134/$AB$2</f>
        <v>865.296296296296</v>
      </c>
    </row>
    <row r="135" customFormat="false" ht="19.5" hidden="true" customHeight="true" outlineLevel="0" collapsed="false">
      <c r="A135" s="68" t="s">
        <v>155</v>
      </c>
      <c r="B135" s="45" t="s">
        <v>103</v>
      </c>
      <c r="C135" s="25" t="n">
        <v>1012</v>
      </c>
      <c r="D135" s="26" t="s">
        <v>156</v>
      </c>
      <c r="E135" s="27" t="s">
        <v>55</v>
      </c>
      <c r="F135" s="28" t="s">
        <v>33</v>
      </c>
      <c r="G135" s="29" t="s">
        <v>62</v>
      </c>
      <c r="H135" s="30" t="n">
        <v>2.72</v>
      </c>
      <c r="I135" s="41" t="s">
        <v>34</v>
      </c>
      <c r="J135" s="32" t="n">
        <v>45784</v>
      </c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4" t="n">
        <f aca="false">SUM(K135:Z135)</f>
        <v>0</v>
      </c>
      <c r="AB135" s="35" t="n">
        <f aca="false">SUM(AA135/H135)</f>
        <v>0</v>
      </c>
      <c r="AC135" s="36" t="n">
        <f aca="false">AB135/$AB$2</f>
        <v>0</v>
      </c>
    </row>
    <row r="136" customFormat="false" ht="19.5" hidden="false" customHeight="true" outlineLevel="0" collapsed="false">
      <c r="A136" s="44" t="s">
        <v>57</v>
      </c>
      <c r="B136" s="45" t="s">
        <v>17</v>
      </c>
      <c r="C136" s="25" t="n">
        <v>704</v>
      </c>
      <c r="D136" s="26" t="s">
        <v>147</v>
      </c>
      <c r="E136" s="27" t="s">
        <v>159</v>
      </c>
      <c r="F136" s="28" t="s">
        <v>87</v>
      </c>
      <c r="G136" s="29" t="n">
        <v>3</v>
      </c>
      <c r="H136" s="30" t="n">
        <v>1</v>
      </c>
      <c r="I136" s="31" t="s">
        <v>22</v>
      </c>
      <c r="J136" s="32" t="n">
        <v>45896</v>
      </c>
      <c r="K136" s="33" t="n">
        <v>1840</v>
      </c>
      <c r="L136" s="33"/>
      <c r="M136" s="33"/>
      <c r="N136" s="33"/>
      <c r="O136" s="33" t="n">
        <v>1581</v>
      </c>
      <c r="P136" s="33" t="n">
        <v>1331</v>
      </c>
      <c r="Q136" s="33"/>
      <c r="R136" s="33"/>
      <c r="S136" s="33"/>
      <c r="T136" s="33"/>
      <c r="U136" s="33"/>
      <c r="V136" s="33" t="n">
        <v>1187</v>
      </c>
      <c r="W136" s="33" t="n">
        <v>353</v>
      </c>
      <c r="X136" s="33"/>
      <c r="Y136" s="33" t="n">
        <v>1246</v>
      </c>
      <c r="Z136" s="33"/>
      <c r="AA136" s="34" t="n">
        <f aca="false">SUM(K136:Z136)</f>
        <v>7538</v>
      </c>
      <c r="AB136" s="35" t="n">
        <f aca="false">SUM(AA136/H136)</f>
        <v>7538</v>
      </c>
      <c r="AC136" s="36" t="n">
        <f aca="false">AB136/$AB$2</f>
        <v>502.533333333333</v>
      </c>
    </row>
    <row r="137" customFormat="false" ht="19.5" hidden="false" customHeight="true" outlineLevel="0" collapsed="false">
      <c r="A137" s="47" t="s">
        <v>65</v>
      </c>
      <c r="B137" s="45" t="s">
        <v>66</v>
      </c>
      <c r="C137" s="25" t="n">
        <v>905</v>
      </c>
      <c r="D137" s="26" t="s">
        <v>143</v>
      </c>
      <c r="E137" s="27" t="s">
        <v>48</v>
      </c>
      <c r="F137" s="28" t="s">
        <v>49</v>
      </c>
      <c r="G137" s="29" t="s">
        <v>160</v>
      </c>
      <c r="H137" s="30" t="n">
        <v>3</v>
      </c>
      <c r="I137" s="31" t="s">
        <v>22</v>
      </c>
      <c r="J137" s="32" t="n">
        <v>45875</v>
      </c>
      <c r="K137" s="33"/>
      <c r="L137" s="33"/>
      <c r="M137" s="33" t="n">
        <v>8017</v>
      </c>
      <c r="N137" s="33"/>
      <c r="O137" s="33"/>
      <c r="P137" s="33"/>
      <c r="Q137" s="33" t="n">
        <v>8605</v>
      </c>
      <c r="R137" s="33"/>
      <c r="S137" s="33"/>
      <c r="T137" s="33"/>
      <c r="U137" s="33" t="n">
        <v>8842</v>
      </c>
      <c r="V137" s="33" t="n">
        <v>344</v>
      </c>
      <c r="W137" s="33"/>
      <c r="X137" s="33"/>
      <c r="Y137" s="33" t="n">
        <v>8704</v>
      </c>
      <c r="Z137" s="33"/>
      <c r="AA137" s="34" t="n">
        <f aca="false">SUM(K137:Z137)</f>
        <v>34512</v>
      </c>
      <c r="AB137" s="35" t="n">
        <f aca="false">SUM(AA137/H137)</f>
        <v>11504</v>
      </c>
      <c r="AC137" s="36" t="n">
        <f aca="false">AB137/$AB$2</f>
        <v>766.933333333333</v>
      </c>
    </row>
    <row r="138" customFormat="false" ht="19.5" hidden="false" customHeight="true" outlineLevel="0" collapsed="false">
      <c r="A138" s="51" t="s">
        <v>97</v>
      </c>
      <c r="B138" s="45" t="s">
        <v>66</v>
      </c>
      <c r="C138" s="25" t="n">
        <v>901</v>
      </c>
      <c r="D138" s="26" t="s">
        <v>98</v>
      </c>
      <c r="E138" s="27" t="s">
        <v>86</v>
      </c>
      <c r="F138" s="28" t="s">
        <v>87</v>
      </c>
      <c r="G138" s="29" t="s">
        <v>63</v>
      </c>
      <c r="H138" s="30" t="n">
        <v>2</v>
      </c>
      <c r="I138" s="31" t="s">
        <v>22</v>
      </c>
      <c r="J138" s="32" t="n">
        <v>45887</v>
      </c>
      <c r="K138" s="33"/>
      <c r="L138" s="33"/>
      <c r="M138" s="33"/>
      <c r="N138" s="33"/>
      <c r="O138" s="33" t="n">
        <v>1324</v>
      </c>
      <c r="P138" s="33" t="n">
        <v>3810</v>
      </c>
      <c r="Q138" s="33" t="n">
        <v>934</v>
      </c>
      <c r="R138" s="33"/>
      <c r="S138" s="33"/>
      <c r="T138" s="33"/>
      <c r="U138" s="33"/>
      <c r="V138" s="33" t="n">
        <v>1568</v>
      </c>
      <c r="W138" s="33" t="n">
        <v>2085</v>
      </c>
      <c r="X138" s="33"/>
      <c r="Y138" s="33"/>
      <c r="Z138" s="33"/>
      <c r="AA138" s="34" t="n">
        <f aca="false">SUM(K138:Z138)</f>
        <v>9721</v>
      </c>
      <c r="AB138" s="35" t="n">
        <f aca="false">SUM(AA138/H138)</f>
        <v>4860.5</v>
      </c>
      <c r="AC138" s="36" t="n">
        <f aca="false">AB138/$AB$2</f>
        <v>324.033333333333</v>
      </c>
    </row>
    <row r="139" customFormat="false" ht="19.5" hidden="false" customHeight="true" outlineLevel="0" collapsed="false">
      <c r="A139" s="47" t="s">
        <v>65</v>
      </c>
      <c r="B139" s="45" t="s">
        <v>66</v>
      </c>
      <c r="C139" s="25" t="n">
        <v>903</v>
      </c>
      <c r="D139" s="26" t="s">
        <v>67</v>
      </c>
      <c r="E139" s="27" t="s">
        <v>32</v>
      </c>
      <c r="F139" s="28" t="s">
        <v>33</v>
      </c>
      <c r="G139" s="29" t="n">
        <v>5</v>
      </c>
      <c r="H139" s="30" t="n">
        <v>1.25</v>
      </c>
      <c r="I139" s="31" t="s">
        <v>22</v>
      </c>
      <c r="J139" s="70" t="n">
        <v>45911</v>
      </c>
      <c r="K139" s="33"/>
      <c r="L139" s="33" t="n">
        <v>6898</v>
      </c>
      <c r="M139" s="33"/>
      <c r="N139" s="33"/>
      <c r="O139" s="33"/>
      <c r="P139" s="33"/>
      <c r="Q139" s="33"/>
      <c r="R139" s="33"/>
      <c r="S139" s="33" t="n">
        <v>6266</v>
      </c>
      <c r="T139" s="33"/>
      <c r="U139" s="33"/>
      <c r="V139" s="33"/>
      <c r="W139" s="33"/>
      <c r="X139" s="33"/>
      <c r="Y139" s="33"/>
      <c r="Z139" s="33"/>
      <c r="AA139" s="34" t="n">
        <f aca="false">SUM(K139:Z139)</f>
        <v>13164</v>
      </c>
      <c r="AB139" s="35" t="n">
        <f aca="false">SUM(AA139/H139)</f>
        <v>10531.2</v>
      </c>
      <c r="AC139" s="36" t="n">
        <f aca="false">AB139/$AB$2</f>
        <v>702.08</v>
      </c>
    </row>
    <row r="140" customFormat="false" ht="19.5" hidden="true" customHeight="true" outlineLevel="0" collapsed="false">
      <c r="A140" s="50" t="s">
        <v>83</v>
      </c>
      <c r="B140" s="45" t="s">
        <v>84</v>
      </c>
      <c r="C140" s="25" t="n">
        <v>204</v>
      </c>
      <c r="D140" s="26" t="s">
        <v>85</v>
      </c>
      <c r="E140" s="27" t="s">
        <v>93</v>
      </c>
      <c r="F140" s="28" t="s">
        <v>20</v>
      </c>
      <c r="G140" s="29" t="n">
        <v>9</v>
      </c>
      <c r="H140" s="30" t="n">
        <v>1.3</v>
      </c>
      <c r="I140" s="41" t="s">
        <v>34</v>
      </c>
      <c r="J140" s="70" t="n">
        <v>45793</v>
      </c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4" t="n">
        <f aca="false">SUM(K140:Z140)</f>
        <v>0</v>
      </c>
      <c r="AB140" s="35" t="n">
        <f aca="false">SUM(AA140/H140)</f>
        <v>0</v>
      </c>
      <c r="AC140" s="36" t="n">
        <f aca="false">AB140/$AB$2</f>
        <v>0</v>
      </c>
    </row>
    <row r="141" customFormat="false" ht="19.5" hidden="false" customHeight="true" outlineLevel="0" collapsed="false">
      <c r="A141" s="47" t="s">
        <v>65</v>
      </c>
      <c r="B141" s="45" t="s">
        <v>66</v>
      </c>
      <c r="C141" s="25" t="n">
        <v>906</v>
      </c>
      <c r="D141" s="26" t="s">
        <v>158</v>
      </c>
      <c r="E141" s="27" t="s">
        <v>161</v>
      </c>
      <c r="F141" s="28" t="s">
        <v>87</v>
      </c>
      <c r="G141" s="29" t="n">
        <v>1</v>
      </c>
      <c r="H141" s="30" t="n">
        <v>1.74</v>
      </c>
      <c r="I141" s="31" t="s">
        <v>22</v>
      </c>
      <c r="J141" s="70" t="n">
        <v>45911</v>
      </c>
      <c r="K141" s="33"/>
      <c r="L141" s="33" t="n">
        <v>3656</v>
      </c>
      <c r="M141" s="33"/>
      <c r="N141" s="33"/>
      <c r="O141" s="33"/>
      <c r="P141" s="33"/>
      <c r="Q141" s="33"/>
      <c r="R141" s="33"/>
      <c r="S141" s="33"/>
      <c r="T141" s="33" t="n">
        <v>5186</v>
      </c>
      <c r="U141" s="33"/>
      <c r="V141" s="33"/>
      <c r="W141" s="33"/>
      <c r="X141" s="33" t="n">
        <v>4500</v>
      </c>
      <c r="Y141" s="33"/>
      <c r="Z141" s="33"/>
      <c r="AA141" s="34" t="n">
        <f aca="false">SUM(K141:Z141)</f>
        <v>13342</v>
      </c>
      <c r="AB141" s="35" t="n">
        <f aca="false">SUM(AA141/H141)</f>
        <v>7667.81609195402</v>
      </c>
      <c r="AC141" s="36" t="n">
        <f aca="false">AB141/$AB$2</f>
        <v>511.187739463602</v>
      </c>
    </row>
    <row r="142" customFormat="false" ht="19.5" hidden="false" customHeight="true" outlineLevel="0" collapsed="false">
      <c r="A142" s="24" t="s">
        <v>42</v>
      </c>
      <c r="B142" s="45" t="s">
        <v>43</v>
      </c>
      <c r="C142" s="25" t="n">
        <v>102</v>
      </c>
      <c r="D142" s="26" t="s">
        <v>92</v>
      </c>
      <c r="E142" s="27" t="s">
        <v>114</v>
      </c>
      <c r="F142" s="28" t="s">
        <v>49</v>
      </c>
      <c r="G142" s="29" t="s">
        <v>162</v>
      </c>
      <c r="H142" s="30" t="n">
        <v>2.62</v>
      </c>
      <c r="I142" s="31" t="s">
        <v>22</v>
      </c>
      <c r="J142" s="70" t="n">
        <v>45901</v>
      </c>
      <c r="K142" s="33"/>
      <c r="L142" s="33"/>
      <c r="M142" s="33"/>
      <c r="N142" s="33"/>
      <c r="O142" s="33"/>
      <c r="P142" s="33" t="n">
        <v>9144</v>
      </c>
      <c r="Q142" s="33" t="n">
        <v>5936</v>
      </c>
      <c r="R142" s="33"/>
      <c r="S142" s="33"/>
      <c r="T142" s="33"/>
      <c r="U142" s="33" t="n">
        <v>5910</v>
      </c>
      <c r="V142" s="33"/>
      <c r="W142" s="33" t="n">
        <v>4192</v>
      </c>
      <c r="X142" s="33"/>
      <c r="Y142" s="33"/>
      <c r="Z142" s="33"/>
      <c r="AA142" s="34" t="n">
        <f aca="false">SUM(K142:Z142)</f>
        <v>25182</v>
      </c>
      <c r="AB142" s="35" t="n">
        <f aca="false">SUM(AA142/H142)</f>
        <v>9611.45038167939</v>
      </c>
      <c r="AC142" s="36" t="n">
        <f aca="false">AB142/$AB$2</f>
        <v>640.763358778626</v>
      </c>
    </row>
    <row r="143" customFormat="false" ht="19.5" hidden="false" customHeight="true" outlineLevel="0" collapsed="false">
      <c r="A143" s="50" t="s">
        <v>83</v>
      </c>
      <c r="B143" s="45" t="s">
        <v>84</v>
      </c>
      <c r="C143" s="25" t="n">
        <v>203</v>
      </c>
      <c r="D143" s="26" t="s">
        <v>141</v>
      </c>
      <c r="E143" s="27" t="s">
        <v>32</v>
      </c>
      <c r="F143" s="28" t="s">
        <v>33</v>
      </c>
      <c r="G143" s="29" t="n">
        <v>22</v>
      </c>
      <c r="H143" s="30" t="n">
        <v>1.14</v>
      </c>
      <c r="I143" s="31" t="s">
        <v>22</v>
      </c>
      <c r="J143" s="70" t="n">
        <v>45895</v>
      </c>
      <c r="K143" s="33" t="n">
        <v>2171</v>
      </c>
      <c r="L143" s="33"/>
      <c r="M143" s="33"/>
      <c r="N143" s="33"/>
      <c r="O143" s="33" t="n">
        <v>2355</v>
      </c>
      <c r="P143" s="33"/>
      <c r="Q143" s="33"/>
      <c r="R143" s="33"/>
      <c r="S143" s="33"/>
      <c r="T143" s="33"/>
      <c r="U143" s="33"/>
      <c r="V143" s="33"/>
      <c r="W143" s="33" t="n">
        <v>3330</v>
      </c>
      <c r="X143" s="33" t="n">
        <v>1426</v>
      </c>
      <c r="Y143" s="33"/>
      <c r="Z143" s="33"/>
      <c r="AA143" s="34" t="n">
        <f aca="false">SUM(K143:Z143)</f>
        <v>9282</v>
      </c>
      <c r="AB143" s="35" t="n">
        <f aca="false">SUM(AA143/H143)</f>
        <v>8142.1052631579</v>
      </c>
      <c r="AC143" s="36" t="n">
        <f aca="false">AB143/$AB$2</f>
        <v>542.80701754386</v>
      </c>
    </row>
    <row r="144" customFormat="false" ht="19.5" hidden="true" customHeight="true" outlineLevel="0" collapsed="false">
      <c r="A144" s="39" t="s">
        <v>29</v>
      </c>
      <c r="B144" s="45" t="s">
        <v>30</v>
      </c>
      <c r="C144" s="25" t="n">
        <v>502</v>
      </c>
      <c r="D144" s="26" t="s">
        <v>31</v>
      </c>
      <c r="E144" s="27" t="s">
        <v>23</v>
      </c>
      <c r="F144" s="28" t="s">
        <v>20</v>
      </c>
      <c r="G144" s="29" t="n">
        <v>10</v>
      </c>
      <c r="H144" s="30" t="n">
        <v>0.62</v>
      </c>
      <c r="I144" s="41" t="s">
        <v>34</v>
      </c>
      <c r="J144" s="70" t="n">
        <v>45826</v>
      </c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4" t="n">
        <f aca="false">SUM(K144:Z144)</f>
        <v>0</v>
      </c>
      <c r="AB144" s="35" t="n">
        <f aca="false">SUM(AA144/H144)</f>
        <v>0</v>
      </c>
      <c r="AC144" s="36" t="n">
        <f aca="false">AB144/$AB$2</f>
        <v>0</v>
      </c>
    </row>
    <row r="145" customFormat="false" ht="19.5" hidden="true" customHeight="true" outlineLevel="0" collapsed="false">
      <c r="A145" s="46" t="s">
        <v>60</v>
      </c>
      <c r="B145" s="45" t="s">
        <v>17</v>
      </c>
      <c r="C145" s="25" t="n">
        <v>703</v>
      </c>
      <c r="D145" s="26" t="s">
        <v>149</v>
      </c>
      <c r="E145" s="27" t="s">
        <v>145</v>
      </c>
      <c r="F145" s="28" t="s">
        <v>49</v>
      </c>
      <c r="G145" s="29" t="n">
        <v>0</v>
      </c>
      <c r="H145" s="30" t="n">
        <v>1.5</v>
      </c>
      <c r="I145" s="31" t="s">
        <v>22</v>
      </c>
      <c r="J145" s="70" t="n">
        <v>45921</v>
      </c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4" t="n">
        <f aca="false">SUM(K145:Z145)</f>
        <v>0</v>
      </c>
      <c r="AB145" s="35" t="n">
        <f aca="false">SUM(AA145/H145)</f>
        <v>0</v>
      </c>
      <c r="AC145" s="36" t="n">
        <f aca="false">AB145/$AB$2</f>
        <v>0</v>
      </c>
    </row>
    <row r="146" customFormat="false" ht="19.5" hidden="false" customHeight="true" outlineLevel="0" collapsed="false">
      <c r="A146" s="46" t="s">
        <v>60</v>
      </c>
      <c r="B146" s="45" t="s">
        <v>17</v>
      </c>
      <c r="C146" s="25" t="n">
        <v>604</v>
      </c>
      <c r="D146" s="26" t="s">
        <v>163</v>
      </c>
      <c r="E146" s="27" t="s">
        <v>164</v>
      </c>
      <c r="F146" s="28" t="s">
        <v>87</v>
      </c>
      <c r="G146" s="29" t="s">
        <v>99</v>
      </c>
      <c r="H146" s="30" t="n">
        <v>1.6</v>
      </c>
      <c r="I146" s="31" t="s">
        <v>22</v>
      </c>
      <c r="J146" s="70" t="n">
        <v>45892</v>
      </c>
      <c r="K146" s="33"/>
      <c r="L146" s="33" t="n">
        <v>977</v>
      </c>
      <c r="M146" s="33" t="n">
        <v>2864</v>
      </c>
      <c r="N146" s="33" t="n">
        <v>2450</v>
      </c>
      <c r="O146" s="33" t="n">
        <v>336</v>
      </c>
      <c r="P146" s="33"/>
      <c r="Q146" s="33"/>
      <c r="R146" s="33"/>
      <c r="S146" s="33"/>
      <c r="T146" s="33"/>
      <c r="U146" s="33" t="n">
        <v>609</v>
      </c>
      <c r="V146" s="33" t="n">
        <v>5305</v>
      </c>
      <c r="W146" s="33"/>
      <c r="X146" s="33" t="n">
        <v>174</v>
      </c>
      <c r="Y146" s="33" t="n">
        <v>243</v>
      </c>
      <c r="Z146" s="33"/>
      <c r="AA146" s="34" t="n">
        <f aca="false">SUM(K146:Z146)</f>
        <v>12958</v>
      </c>
      <c r="AB146" s="35" t="n">
        <f aca="false">SUM(AA146/H146)</f>
        <v>8098.75</v>
      </c>
      <c r="AC146" s="36" t="n">
        <f aca="false">AB146/$AB$2</f>
        <v>539.916666666667</v>
      </c>
    </row>
    <row r="147" customFormat="false" ht="19.5" hidden="false" customHeight="true" outlineLevel="0" collapsed="false">
      <c r="A147" s="24" t="s">
        <v>42</v>
      </c>
      <c r="B147" s="45" t="s">
        <v>43</v>
      </c>
      <c r="C147" s="25" t="n">
        <v>101</v>
      </c>
      <c r="D147" s="26" t="s">
        <v>54</v>
      </c>
      <c r="E147" s="27" t="s">
        <v>48</v>
      </c>
      <c r="F147" s="28" t="s">
        <v>49</v>
      </c>
      <c r="G147" s="29" t="s">
        <v>36</v>
      </c>
      <c r="H147" s="30" t="n">
        <v>2.4</v>
      </c>
      <c r="I147" s="31" t="s">
        <v>22</v>
      </c>
      <c r="J147" s="70" t="n">
        <v>45931</v>
      </c>
      <c r="K147" s="33" t="n">
        <v>4112</v>
      </c>
      <c r="L147" s="33"/>
      <c r="M147" s="33" t="n">
        <v>3399</v>
      </c>
      <c r="N147" s="33" t="n">
        <v>4110</v>
      </c>
      <c r="O147" s="33"/>
      <c r="P147" s="33" t="n">
        <v>3467</v>
      </c>
      <c r="Q147" s="33" t="n">
        <v>672</v>
      </c>
      <c r="R147" s="33"/>
      <c r="S147" s="33" t="n">
        <v>5644</v>
      </c>
      <c r="T147" s="33" t="n">
        <v>441</v>
      </c>
      <c r="U147" s="33" t="n">
        <v>6586</v>
      </c>
      <c r="V147" s="33"/>
      <c r="W147" s="33"/>
      <c r="X147" s="33" t="n">
        <v>6540</v>
      </c>
      <c r="Y147" s="33" t="n">
        <v>489</v>
      </c>
      <c r="Z147" s="33"/>
      <c r="AA147" s="34" t="n">
        <f aca="false">SUM(K147:Z147)</f>
        <v>35460</v>
      </c>
      <c r="AB147" s="35" t="n">
        <f aca="false">SUM(AA147/H147)</f>
        <v>14775</v>
      </c>
      <c r="AC147" s="36" t="n">
        <f aca="false">AB147/$AB$2</f>
        <v>985</v>
      </c>
    </row>
    <row r="148" customFormat="false" ht="19.5" hidden="false" customHeight="true" outlineLevel="0" collapsed="false">
      <c r="A148" s="24" t="s">
        <v>42</v>
      </c>
      <c r="B148" s="45" t="s">
        <v>43</v>
      </c>
      <c r="C148" s="25" t="n">
        <v>103</v>
      </c>
      <c r="D148" s="26" t="s">
        <v>125</v>
      </c>
      <c r="E148" s="27" t="s">
        <v>19</v>
      </c>
      <c r="F148" s="28" t="s">
        <v>20</v>
      </c>
      <c r="G148" s="29" t="s">
        <v>165</v>
      </c>
      <c r="H148" s="30" t="n">
        <v>3.46</v>
      </c>
      <c r="I148" s="31" t="s">
        <v>22</v>
      </c>
      <c r="J148" s="32" t="n">
        <v>45870</v>
      </c>
      <c r="K148" s="33"/>
      <c r="L148" s="33" t="n">
        <v>4500</v>
      </c>
      <c r="M148" s="33"/>
      <c r="N148" s="33"/>
      <c r="O148" s="33"/>
      <c r="P148" s="33" t="n">
        <v>3151</v>
      </c>
      <c r="Q148" s="33" t="n">
        <v>1272</v>
      </c>
      <c r="R148" s="33"/>
      <c r="S148" s="33"/>
      <c r="T148" s="33"/>
      <c r="U148" s="33" t="n">
        <v>5651</v>
      </c>
      <c r="V148" s="33"/>
      <c r="W148" s="33"/>
      <c r="X148" s="33" t="n">
        <v>2122</v>
      </c>
      <c r="Y148" s="33" t="n">
        <v>3007</v>
      </c>
      <c r="Z148" s="33"/>
      <c r="AA148" s="34" t="n">
        <f aca="false">SUM(K148:Z148)</f>
        <v>19703</v>
      </c>
      <c r="AB148" s="35" t="n">
        <f aca="false">SUM(AA148/H148)</f>
        <v>5694.50867052023</v>
      </c>
      <c r="AC148" s="36" t="n">
        <f aca="false">AB148/$AB$2</f>
        <v>379.633911368015</v>
      </c>
    </row>
    <row r="149" customFormat="false" ht="19.5" hidden="false" customHeight="true" outlineLevel="0" collapsed="false">
      <c r="A149" s="44" t="s">
        <v>57</v>
      </c>
      <c r="B149" s="45" t="s">
        <v>58</v>
      </c>
      <c r="C149" s="25" t="n">
        <v>603</v>
      </c>
      <c r="D149" s="26" t="s">
        <v>59</v>
      </c>
      <c r="E149" s="27" t="s">
        <v>32</v>
      </c>
      <c r="F149" s="28" t="s">
        <v>33</v>
      </c>
      <c r="G149" s="29" t="n">
        <v>10</v>
      </c>
      <c r="H149" s="30" t="n">
        <v>1</v>
      </c>
      <c r="I149" s="31" t="s">
        <v>22</v>
      </c>
      <c r="J149" s="70" t="n">
        <v>45885</v>
      </c>
      <c r="K149" s="33"/>
      <c r="L149" s="33" t="n">
        <v>2310</v>
      </c>
      <c r="M149" s="33"/>
      <c r="N149" s="33"/>
      <c r="O149" s="33" t="n">
        <v>1346</v>
      </c>
      <c r="P149" s="33"/>
      <c r="Q149" s="33"/>
      <c r="R149" s="33"/>
      <c r="S149" s="33" t="n">
        <v>1092</v>
      </c>
      <c r="T149" s="33"/>
      <c r="U149" s="33"/>
      <c r="V149" s="33" t="n">
        <v>1218</v>
      </c>
      <c r="W149" s="33"/>
      <c r="X149" s="33" t="n">
        <v>483</v>
      </c>
      <c r="Y149" s="33"/>
      <c r="Z149" s="33"/>
      <c r="AA149" s="34" t="n">
        <f aca="false">SUM(K149:Z149)</f>
        <v>6449</v>
      </c>
      <c r="AB149" s="35" t="n">
        <f aca="false">SUM(AA149/H149)</f>
        <v>6449</v>
      </c>
      <c r="AC149" s="36" t="n">
        <f aca="false">AB149/$AB$2</f>
        <v>429.933333333333</v>
      </c>
    </row>
    <row r="150" customFormat="false" ht="19.5" hidden="false" customHeight="true" outlineLevel="0" collapsed="false">
      <c r="A150" s="50" t="s">
        <v>83</v>
      </c>
      <c r="B150" s="45" t="s">
        <v>84</v>
      </c>
      <c r="C150" s="25" t="n">
        <v>204</v>
      </c>
      <c r="D150" s="26" t="s">
        <v>85</v>
      </c>
      <c r="E150" s="27" t="s">
        <v>86</v>
      </c>
      <c r="F150" s="28" t="s">
        <v>87</v>
      </c>
      <c r="G150" s="29" t="n">
        <v>2</v>
      </c>
      <c r="H150" s="30" t="n">
        <v>1</v>
      </c>
      <c r="I150" s="31" t="s">
        <v>22</v>
      </c>
      <c r="J150" s="70" t="n">
        <v>45905</v>
      </c>
      <c r="K150" s="33"/>
      <c r="L150" s="33"/>
      <c r="M150" s="33"/>
      <c r="N150" s="33"/>
      <c r="O150" s="33" t="n">
        <v>1001</v>
      </c>
      <c r="P150" s="33"/>
      <c r="Q150" s="33"/>
      <c r="R150" s="33" t="n">
        <v>261</v>
      </c>
      <c r="S150" s="33"/>
      <c r="T150" s="33"/>
      <c r="U150" s="33" t="n">
        <v>1437</v>
      </c>
      <c r="V150" s="33" t="n">
        <v>138</v>
      </c>
      <c r="W150" s="33"/>
      <c r="X150" s="33"/>
      <c r="Y150" s="33"/>
      <c r="Z150" s="33"/>
      <c r="AA150" s="34" t="n">
        <f aca="false">SUM(K150:Z150)</f>
        <v>2837</v>
      </c>
      <c r="AB150" s="35" t="n">
        <f aca="false">SUM(AA150/H150)</f>
        <v>2837</v>
      </c>
      <c r="AC150" s="36" t="n">
        <f aca="false">AB150/$AB$2</f>
        <v>189.133333333333</v>
      </c>
    </row>
    <row r="151" customFormat="false" ht="19.5" hidden="false" customHeight="true" outlineLevel="0" collapsed="false">
      <c r="A151" s="53" t="s">
        <v>106</v>
      </c>
      <c r="B151" s="45" t="s">
        <v>78</v>
      </c>
      <c r="C151" s="25" t="n">
        <v>908</v>
      </c>
      <c r="D151" s="26" t="s">
        <v>144</v>
      </c>
      <c r="E151" s="27" t="s">
        <v>166</v>
      </c>
      <c r="F151" s="28" t="s">
        <v>20</v>
      </c>
      <c r="G151" s="29" t="n">
        <v>1</v>
      </c>
      <c r="H151" s="30" t="n">
        <v>0.3</v>
      </c>
      <c r="I151" s="31" t="s">
        <v>22</v>
      </c>
      <c r="J151" s="70" t="n">
        <v>45876</v>
      </c>
      <c r="K151" s="33" t="n">
        <v>1462</v>
      </c>
      <c r="L151" s="33"/>
      <c r="M151" s="33"/>
      <c r="N151" s="33"/>
      <c r="O151" s="33" t="n">
        <v>594</v>
      </c>
      <c r="P151" s="33" t="n">
        <v>474</v>
      </c>
      <c r="Q151" s="33"/>
      <c r="R151" s="33"/>
      <c r="S151" s="33"/>
      <c r="T151" s="33"/>
      <c r="U151" s="33"/>
      <c r="V151" s="33"/>
      <c r="W151" s="33" t="n">
        <v>906</v>
      </c>
      <c r="X151" s="33"/>
      <c r="Y151" s="33"/>
      <c r="Z151" s="33"/>
      <c r="AA151" s="34" t="n">
        <f aca="false">SUM(K151:Z151)</f>
        <v>3436</v>
      </c>
      <c r="AB151" s="35" t="n">
        <f aca="false">SUM(AA151/H151)</f>
        <v>11453.3333333333</v>
      </c>
      <c r="AC151" s="36" t="n">
        <f aca="false">AB151/$AB$2</f>
        <v>763.555555555556</v>
      </c>
    </row>
    <row r="152" customFormat="false" ht="19.5" hidden="false" customHeight="true" outlineLevel="0" collapsed="false">
      <c r="A152" s="46" t="s">
        <v>60</v>
      </c>
      <c r="B152" s="45" t="s">
        <v>17</v>
      </c>
      <c r="C152" s="25" t="n">
        <v>703</v>
      </c>
      <c r="D152" s="26" t="s">
        <v>149</v>
      </c>
      <c r="E152" s="27" t="s">
        <v>161</v>
      </c>
      <c r="F152" s="28" t="s">
        <v>87</v>
      </c>
      <c r="G152" s="29" t="s">
        <v>129</v>
      </c>
      <c r="H152" s="30" t="n">
        <v>2</v>
      </c>
      <c r="I152" s="31" t="s">
        <v>22</v>
      </c>
      <c r="J152" s="70" t="n">
        <v>45922</v>
      </c>
      <c r="K152" s="33" t="n">
        <v>1704</v>
      </c>
      <c r="L152" s="33" t="n">
        <v>2310</v>
      </c>
      <c r="M152" s="33"/>
      <c r="N152" s="33" t="n">
        <v>2300</v>
      </c>
      <c r="O152" s="33" t="n">
        <v>1917</v>
      </c>
      <c r="P152" s="33" t="n">
        <v>1695</v>
      </c>
      <c r="Q152" s="33" t="n">
        <v>2060</v>
      </c>
      <c r="R152" s="33"/>
      <c r="S152" s="33"/>
      <c r="T152" s="33" t="n">
        <v>2184</v>
      </c>
      <c r="U152" s="33" t="n">
        <v>2228</v>
      </c>
      <c r="V152" s="33"/>
      <c r="W152" s="33" t="n">
        <v>2023</v>
      </c>
      <c r="X152" s="33"/>
      <c r="Y152" s="33"/>
      <c r="Z152" s="33"/>
      <c r="AA152" s="34" t="n">
        <f aca="false">SUM(K152:Z152)</f>
        <v>18421</v>
      </c>
      <c r="AB152" s="35" t="n">
        <f aca="false">SUM(AA152/H152)</f>
        <v>9210.5</v>
      </c>
      <c r="AC152" s="36" t="n">
        <f aca="false">AB152/$AB$2</f>
        <v>614.033333333333</v>
      </c>
    </row>
    <row r="153" customFormat="false" ht="19.5" hidden="false" customHeight="true" outlineLevel="0" collapsed="false">
      <c r="A153" s="44" t="s">
        <v>57</v>
      </c>
      <c r="B153" s="45" t="s">
        <v>58</v>
      </c>
      <c r="C153" s="25" t="n">
        <v>601</v>
      </c>
      <c r="D153" s="26" t="s">
        <v>119</v>
      </c>
      <c r="E153" s="27" t="s">
        <v>166</v>
      </c>
      <c r="F153" s="28" t="s">
        <v>20</v>
      </c>
      <c r="G153" s="29" t="n">
        <v>9</v>
      </c>
      <c r="H153" s="30" t="n">
        <v>1</v>
      </c>
      <c r="I153" s="31" t="s">
        <v>22</v>
      </c>
      <c r="J153" s="70" t="n">
        <v>45896</v>
      </c>
      <c r="K153" s="33"/>
      <c r="L153" s="33"/>
      <c r="M153" s="33" t="n">
        <v>1237</v>
      </c>
      <c r="N153" s="33"/>
      <c r="O153" s="33"/>
      <c r="P153" s="33"/>
      <c r="Q153" s="33" t="n">
        <v>1500</v>
      </c>
      <c r="R153" s="33"/>
      <c r="S153" s="33"/>
      <c r="T153" s="33" t="n">
        <v>938</v>
      </c>
      <c r="U153" s="33"/>
      <c r="V153" s="33"/>
      <c r="W153" s="33"/>
      <c r="X153" s="33" t="n">
        <v>861</v>
      </c>
      <c r="Y153" s="33"/>
      <c r="Z153" s="33"/>
      <c r="AA153" s="34" t="n">
        <f aca="false">SUM(K153:Z153)</f>
        <v>4536</v>
      </c>
      <c r="AB153" s="35" t="n">
        <f aca="false">SUM(AA153/H153)</f>
        <v>4536</v>
      </c>
      <c r="AC153" s="36" t="n">
        <f aca="false">AB153/$AB$2</f>
        <v>302.4</v>
      </c>
    </row>
    <row r="154" customFormat="false" ht="19.5" hidden="false" customHeight="true" outlineLevel="0" collapsed="false">
      <c r="A154" s="44" t="s">
        <v>57</v>
      </c>
      <c r="B154" s="45" t="s">
        <v>58</v>
      </c>
      <c r="C154" s="25" t="n">
        <v>601</v>
      </c>
      <c r="D154" s="26" t="s">
        <v>119</v>
      </c>
      <c r="E154" s="27" t="s">
        <v>167</v>
      </c>
      <c r="F154" s="28" t="s">
        <v>20</v>
      </c>
      <c r="G154" s="29" t="n">
        <v>8</v>
      </c>
      <c r="H154" s="30" t="n">
        <v>0.8</v>
      </c>
      <c r="I154" s="31" t="s">
        <v>22</v>
      </c>
      <c r="J154" s="70" t="n">
        <v>45892</v>
      </c>
      <c r="K154" s="33"/>
      <c r="L154" s="33"/>
      <c r="M154" s="33" t="n">
        <v>708</v>
      </c>
      <c r="N154" s="33"/>
      <c r="O154" s="33"/>
      <c r="P154" s="33"/>
      <c r="Q154" s="33" t="n">
        <v>1708</v>
      </c>
      <c r="R154" s="33"/>
      <c r="S154" s="33"/>
      <c r="T154" s="33" t="n">
        <v>1231</v>
      </c>
      <c r="U154" s="33"/>
      <c r="V154" s="33"/>
      <c r="W154" s="33"/>
      <c r="X154" s="33" t="n">
        <v>1362</v>
      </c>
      <c r="Y154" s="33"/>
      <c r="Z154" s="33"/>
      <c r="AA154" s="34" t="n">
        <f aca="false">SUM(K154:Z154)</f>
        <v>5009</v>
      </c>
      <c r="AB154" s="35" t="n">
        <f aca="false">SUM(AA154/H154)</f>
        <v>6261.25</v>
      </c>
      <c r="AC154" s="36" t="n">
        <f aca="false">AB154/$AB$2</f>
        <v>417.416666666667</v>
      </c>
    </row>
    <row r="155" customFormat="false" ht="19.5" hidden="true" customHeight="true" outlineLevel="0" collapsed="false">
      <c r="A155" s="47" t="s">
        <v>65</v>
      </c>
      <c r="B155" s="45" t="s">
        <v>66</v>
      </c>
      <c r="C155" s="25" t="n">
        <v>903</v>
      </c>
      <c r="D155" s="26" t="s">
        <v>67</v>
      </c>
      <c r="E155" s="27" t="s">
        <v>168</v>
      </c>
      <c r="F155" s="28" t="s">
        <v>169</v>
      </c>
      <c r="G155" s="29" t="s">
        <v>28</v>
      </c>
      <c r="H155" s="30" t="n">
        <v>2</v>
      </c>
      <c r="I155" s="31" t="s">
        <v>22</v>
      </c>
      <c r="J155" s="70" t="n">
        <v>45925</v>
      </c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4" t="n">
        <f aca="false">SUM(K155:Z155)</f>
        <v>0</v>
      </c>
      <c r="AB155" s="35" t="n">
        <f aca="false">SUM(AA155/H155)</f>
        <v>0</v>
      </c>
      <c r="AC155" s="36" t="n">
        <f aca="false">AB155/$AB$2</f>
        <v>0</v>
      </c>
    </row>
    <row r="156" customFormat="false" ht="19.5" hidden="false" customHeight="true" outlineLevel="0" collapsed="false">
      <c r="A156" s="47" t="s">
        <v>65</v>
      </c>
      <c r="B156" s="45" t="s">
        <v>66</v>
      </c>
      <c r="C156" s="25" t="n">
        <v>906</v>
      </c>
      <c r="D156" s="26" t="s">
        <v>158</v>
      </c>
      <c r="E156" s="27" t="s">
        <v>32</v>
      </c>
      <c r="F156" s="28" t="s">
        <v>33</v>
      </c>
      <c r="G156" s="29" t="s">
        <v>62</v>
      </c>
      <c r="H156" s="30" t="n">
        <v>2.46</v>
      </c>
      <c r="I156" s="69" t="s">
        <v>22</v>
      </c>
      <c r="J156" s="32" t="n">
        <v>45900</v>
      </c>
      <c r="K156" s="33"/>
      <c r="L156" s="33"/>
      <c r="M156" s="33"/>
      <c r="N156" s="33"/>
      <c r="O156" s="33" t="n">
        <v>1452</v>
      </c>
      <c r="P156" s="33" t="n">
        <v>9448</v>
      </c>
      <c r="Q156" s="33"/>
      <c r="R156" s="33"/>
      <c r="S156" s="33"/>
      <c r="T156" s="33"/>
      <c r="U156" s="33"/>
      <c r="V156" s="33" t="n">
        <v>3780</v>
      </c>
      <c r="W156" s="33" t="n">
        <v>6054</v>
      </c>
      <c r="X156" s="33"/>
      <c r="Y156" s="33"/>
      <c r="Z156" s="33"/>
      <c r="AA156" s="34" t="n">
        <f aca="false">SUM(K156:Z156)</f>
        <v>20734</v>
      </c>
      <c r="AB156" s="35" t="n">
        <f aca="false">SUM(AA156/H156)</f>
        <v>8428.45528455285</v>
      </c>
      <c r="AC156" s="36" t="n">
        <f aca="false">AB156/$AB$2</f>
        <v>561.89701897019</v>
      </c>
    </row>
    <row r="157" customFormat="false" ht="19.5" hidden="false" customHeight="true" outlineLevel="0" collapsed="false">
      <c r="A157" s="39" t="s">
        <v>29</v>
      </c>
      <c r="B157" s="45" t="s">
        <v>30</v>
      </c>
      <c r="C157" s="25" t="n">
        <v>501</v>
      </c>
      <c r="D157" s="26" t="s">
        <v>118</v>
      </c>
      <c r="E157" s="27" t="s">
        <v>32</v>
      </c>
      <c r="F157" s="28" t="s">
        <v>33</v>
      </c>
      <c r="G157" s="29" t="s">
        <v>28</v>
      </c>
      <c r="H157" s="30" t="n">
        <v>1.76</v>
      </c>
      <c r="I157" s="31" t="s">
        <v>22</v>
      </c>
      <c r="J157" s="32" t="n">
        <v>45860</v>
      </c>
      <c r="K157" s="33" t="n">
        <v>339</v>
      </c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4" t="n">
        <f aca="false">SUM(K157:Z157)</f>
        <v>339</v>
      </c>
      <c r="AB157" s="35" t="n">
        <f aca="false">SUM(AA157/H157)</f>
        <v>192.613636363636</v>
      </c>
      <c r="AC157" s="36" t="n">
        <f aca="false">AB157/$AB$2</f>
        <v>12.8409090909091</v>
      </c>
    </row>
    <row r="158" customFormat="false" ht="19.5" hidden="false" customHeight="true" outlineLevel="0" collapsed="false">
      <c r="A158" s="24" t="s">
        <v>42</v>
      </c>
      <c r="B158" s="45" t="s">
        <v>43</v>
      </c>
      <c r="C158" s="25" t="n">
        <v>100</v>
      </c>
      <c r="D158" s="26" t="s">
        <v>44</v>
      </c>
      <c r="E158" s="27" t="s">
        <v>19</v>
      </c>
      <c r="F158" s="28" t="s">
        <v>20</v>
      </c>
      <c r="G158" s="29" t="s">
        <v>170</v>
      </c>
      <c r="H158" s="30" t="n">
        <v>3.15</v>
      </c>
      <c r="I158" s="31" t="s">
        <v>22</v>
      </c>
      <c r="J158" s="32" t="n">
        <v>45923</v>
      </c>
      <c r="K158" s="33" t="n">
        <v>3426</v>
      </c>
      <c r="L158" s="33" t="n">
        <v>3698</v>
      </c>
      <c r="M158" s="33"/>
      <c r="N158" s="33" t="n">
        <v>3920</v>
      </c>
      <c r="O158" s="33" t="n">
        <v>922</v>
      </c>
      <c r="P158" s="33"/>
      <c r="Q158" s="33" t="n">
        <v>6059</v>
      </c>
      <c r="R158" s="33" t="n">
        <v>3374</v>
      </c>
      <c r="S158" s="33"/>
      <c r="T158" s="33"/>
      <c r="U158" s="33" t="n">
        <v>5315</v>
      </c>
      <c r="V158" s="33"/>
      <c r="W158" s="33" t="n">
        <v>6798</v>
      </c>
      <c r="X158" s="33" t="n">
        <v>1024</v>
      </c>
      <c r="Y158" s="33" t="n">
        <v>758</v>
      </c>
      <c r="Z158" s="33"/>
      <c r="AA158" s="34" t="n">
        <f aca="false">SUM(K158:Z158)</f>
        <v>35294</v>
      </c>
      <c r="AB158" s="35" t="n">
        <f aca="false">SUM(AA158/H158)</f>
        <v>11204.4444444444</v>
      </c>
      <c r="AC158" s="36" t="n">
        <f aca="false">AB158/$AB$2</f>
        <v>746.962962962963</v>
      </c>
    </row>
    <row r="159" customFormat="false" ht="19.5" hidden="false" customHeight="true" outlineLevel="0" collapsed="false">
      <c r="A159" s="46" t="s">
        <v>60</v>
      </c>
      <c r="B159" s="45" t="s">
        <v>17</v>
      </c>
      <c r="C159" s="25" t="n">
        <v>604</v>
      </c>
      <c r="D159" s="26" t="s">
        <v>163</v>
      </c>
      <c r="E159" s="27" t="s">
        <v>164</v>
      </c>
      <c r="F159" s="28" t="s">
        <v>87</v>
      </c>
      <c r="G159" s="29" t="n">
        <v>15</v>
      </c>
      <c r="H159" s="30" t="n">
        <v>1</v>
      </c>
      <c r="I159" s="31" t="s">
        <v>22</v>
      </c>
      <c r="J159" s="32" t="n">
        <v>45912</v>
      </c>
      <c r="K159" s="33"/>
      <c r="L159" s="33"/>
      <c r="M159" s="33"/>
      <c r="N159" s="33"/>
      <c r="O159" s="33"/>
      <c r="P159" s="33"/>
      <c r="Q159" s="33"/>
      <c r="R159" s="33"/>
      <c r="S159" s="33" t="n">
        <v>2950</v>
      </c>
      <c r="T159" s="33" t="n">
        <v>308</v>
      </c>
      <c r="U159" s="33" t="n">
        <v>1881</v>
      </c>
      <c r="V159" s="33"/>
      <c r="W159" s="33"/>
      <c r="X159" s="33"/>
      <c r="Y159" s="33"/>
      <c r="Z159" s="33"/>
      <c r="AA159" s="34" t="n">
        <f aca="false">SUM(K159:Z159)</f>
        <v>5139</v>
      </c>
      <c r="AB159" s="35" t="n">
        <f aca="false">SUM(AA159/H159)</f>
        <v>5139</v>
      </c>
      <c r="AC159" s="36" t="n">
        <f aca="false">AB159/$AB$2</f>
        <v>342.6</v>
      </c>
    </row>
    <row r="160" customFormat="false" ht="19.5" hidden="true" customHeight="true" outlineLevel="0" collapsed="false">
      <c r="A160" s="50" t="s">
        <v>83</v>
      </c>
      <c r="B160" s="45" t="s">
        <v>84</v>
      </c>
      <c r="C160" s="25" t="n">
        <v>204</v>
      </c>
      <c r="D160" s="26" t="s">
        <v>85</v>
      </c>
      <c r="E160" s="27" t="s">
        <v>131</v>
      </c>
      <c r="F160" s="28" t="s">
        <v>20</v>
      </c>
      <c r="G160" s="29" t="s">
        <v>134</v>
      </c>
      <c r="H160" s="30" t="n">
        <v>2.29</v>
      </c>
      <c r="I160" s="41" t="s">
        <v>34</v>
      </c>
      <c r="J160" s="32" t="n">
        <v>45770</v>
      </c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4" t="n">
        <f aca="false">SUM(K160:Z160)</f>
        <v>0</v>
      </c>
      <c r="AB160" s="35" t="n">
        <f aca="false">SUM(AA160/H160)</f>
        <v>0</v>
      </c>
      <c r="AC160" s="36" t="n">
        <f aca="false">AB160/$AB$2</f>
        <v>0</v>
      </c>
    </row>
    <row r="161" customFormat="false" ht="19.5" hidden="false" customHeight="true" outlineLevel="0" collapsed="false">
      <c r="A161" s="44" t="s">
        <v>57</v>
      </c>
      <c r="B161" s="45" t="s">
        <v>58</v>
      </c>
      <c r="C161" s="25" t="n">
        <v>601</v>
      </c>
      <c r="D161" s="26" t="s">
        <v>119</v>
      </c>
      <c r="E161" s="27" t="s">
        <v>74</v>
      </c>
      <c r="F161" s="28" t="s">
        <v>20</v>
      </c>
      <c r="G161" s="29" t="s">
        <v>129</v>
      </c>
      <c r="H161" s="30" t="n">
        <v>2</v>
      </c>
      <c r="I161" s="31" t="s">
        <v>22</v>
      </c>
      <c r="J161" s="32" t="n">
        <v>45854</v>
      </c>
      <c r="K161" s="33"/>
      <c r="L161" s="33" t="n">
        <v>2891</v>
      </c>
      <c r="M161" s="33"/>
      <c r="N161" s="33"/>
      <c r="O161" s="33" t="n">
        <v>2546</v>
      </c>
      <c r="P161" s="33"/>
      <c r="Q161" s="33"/>
      <c r="R161" s="33" t="n">
        <v>3054</v>
      </c>
      <c r="S161" s="33" t="n">
        <v>483</v>
      </c>
      <c r="T161" s="33"/>
      <c r="U161" s="33" t="n">
        <v>3780</v>
      </c>
      <c r="V161" s="33"/>
      <c r="W161" s="33"/>
      <c r="X161" s="33"/>
      <c r="Y161" s="33" t="n">
        <v>2622</v>
      </c>
      <c r="Z161" s="33"/>
      <c r="AA161" s="34" t="n">
        <f aca="false">SUM(K161:Z161)</f>
        <v>15376</v>
      </c>
      <c r="AB161" s="35" t="n">
        <f aca="false">SUM(AA161/H161)</f>
        <v>7688</v>
      </c>
      <c r="AC161" s="36" t="n">
        <f aca="false">AB161/$AB$2</f>
        <v>512.533333333333</v>
      </c>
    </row>
    <row r="162" customFormat="false" ht="19.5" hidden="false" customHeight="true" outlineLevel="0" collapsed="false">
      <c r="A162" s="65" t="s">
        <v>132</v>
      </c>
      <c r="B162" s="45" t="s">
        <v>17</v>
      </c>
      <c r="C162" s="25" t="n">
        <v>801</v>
      </c>
      <c r="D162" s="26" t="s">
        <v>133</v>
      </c>
      <c r="E162" s="27" t="s">
        <v>19</v>
      </c>
      <c r="F162" s="28" t="s">
        <v>20</v>
      </c>
      <c r="G162" s="29" t="n">
        <v>6</v>
      </c>
      <c r="H162" s="30" t="n">
        <v>0.93</v>
      </c>
      <c r="I162" s="31" t="s">
        <v>22</v>
      </c>
      <c r="J162" s="32" t="n">
        <v>45912</v>
      </c>
      <c r="K162" s="33"/>
      <c r="L162" s="33"/>
      <c r="M162" s="33"/>
      <c r="N162" s="33" t="n">
        <v>2867</v>
      </c>
      <c r="O162" s="33"/>
      <c r="P162" s="33"/>
      <c r="Q162" s="33" t="n">
        <v>858</v>
      </c>
      <c r="R162" s="33" t="n">
        <v>592</v>
      </c>
      <c r="S162" s="33"/>
      <c r="T162" s="33"/>
      <c r="U162" s="33"/>
      <c r="V162" s="33" t="n">
        <v>1863</v>
      </c>
      <c r="W162" s="33"/>
      <c r="X162" s="33"/>
      <c r="Y162" s="33"/>
      <c r="Z162" s="33"/>
      <c r="AA162" s="34" t="n">
        <f aca="false">SUM(K162:Z162)</f>
        <v>6180</v>
      </c>
      <c r="AB162" s="35" t="n">
        <f aca="false">SUM(AA162/H162)</f>
        <v>6645.16129032258</v>
      </c>
      <c r="AC162" s="36" t="n">
        <f aca="false">AB162/$AB$2</f>
        <v>443.010752688172</v>
      </c>
    </row>
    <row r="163" customFormat="false" ht="19.5" hidden="false" customHeight="true" outlineLevel="0" collapsed="false">
      <c r="A163" s="46" t="s">
        <v>60</v>
      </c>
      <c r="B163" s="45" t="s">
        <v>17</v>
      </c>
      <c r="C163" s="25" t="n">
        <v>703</v>
      </c>
      <c r="D163" s="26" t="s">
        <v>149</v>
      </c>
      <c r="E163" s="27" t="s">
        <v>23</v>
      </c>
      <c r="F163" s="28" t="s">
        <v>20</v>
      </c>
      <c r="G163" s="29" t="n">
        <v>1</v>
      </c>
      <c r="H163" s="30" t="n">
        <v>1</v>
      </c>
      <c r="I163" s="31" t="s">
        <v>22</v>
      </c>
      <c r="J163" s="32" t="n">
        <v>45901</v>
      </c>
      <c r="K163" s="33"/>
      <c r="L163" s="33"/>
      <c r="M163" s="33" t="n">
        <v>2968</v>
      </c>
      <c r="N163" s="33"/>
      <c r="O163" s="33"/>
      <c r="P163" s="33"/>
      <c r="Q163" s="33"/>
      <c r="R163" s="33" t="n">
        <v>2408</v>
      </c>
      <c r="S163" s="33"/>
      <c r="T163" s="33"/>
      <c r="U163" s="33"/>
      <c r="V163" s="33" t="n">
        <v>3457</v>
      </c>
      <c r="W163" s="33"/>
      <c r="X163" s="33"/>
      <c r="Y163" s="33"/>
      <c r="Z163" s="33"/>
      <c r="AA163" s="34" t="n">
        <f aca="false">SUM(K163:Z163)</f>
        <v>8833</v>
      </c>
      <c r="AB163" s="35" t="n">
        <f aca="false">SUM(AA163/H163)</f>
        <v>8833</v>
      </c>
      <c r="AC163" s="36" t="n">
        <f aca="false">AB163/$AB$2</f>
        <v>588.866666666667</v>
      </c>
    </row>
    <row r="164" customFormat="false" ht="19.5" hidden="true" customHeight="true" outlineLevel="0" collapsed="false">
      <c r="A164" s="42" t="s">
        <v>46</v>
      </c>
      <c r="B164" s="45" t="s">
        <v>30</v>
      </c>
      <c r="C164" s="25" t="n">
        <v>303</v>
      </c>
      <c r="D164" s="26" t="s">
        <v>47</v>
      </c>
      <c r="E164" s="27" t="s">
        <v>32</v>
      </c>
      <c r="F164" s="28" t="s">
        <v>33</v>
      </c>
      <c r="G164" s="29" t="n">
        <v>1</v>
      </c>
      <c r="H164" s="30" t="n">
        <v>0.75</v>
      </c>
      <c r="I164" s="41" t="s">
        <v>34</v>
      </c>
      <c r="J164" s="32" t="n">
        <v>45838</v>
      </c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4" t="n">
        <f aca="false">SUM(K164:Z164)</f>
        <v>0</v>
      </c>
      <c r="AB164" s="35" t="n">
        <f aca="false">SUM(AA164/H164)</f>
        <v>0</v>
      </c>
      <c r="AC164" s="36" t="n">
        <f aca="false">AB164/$AB$2</f>
        <v>0</v>
      </c>
    </row>
    <row r="165" customFormat="false" ht="19.5" hidden="false" customHeight="true" outlineLevel="0" collapsed="false">
      <c r="A165" s="43" t="s">
        <v>51</v>
      </c>
      <c r="B165" s="45" t="s">
        <v>26</v>
      </c>
      <c r="C165" s="25" t="n">
        <v>401</v>
      </c>
      <c r="D165" s="26" t="s">
        <v>52</v>
      </c>
      <c r="E165" s="27" t="s">
        <v>48</v>
      </c>
      <c r="F165" s="28" t="s">
        <v>49</v>
      </c>
      <c r="G165" s="29" t="n">
        <v>9</v>
      </c>
      <c r="H165" s="30" t="n">
        <v>1.1</v>
      </c>
      <c r="I165" s="31" t="s">
        <v>22</v>
      </c>
      <c r="J165" s="32" t="n">
        <v>45881</v>
      </c>
      <c r="K165" s="33" t="n">
        <v>809</v>
      </c>
      <c r="L165" s="33" t="n">
        <v>3955</v>
      </c>
      <c r="M165" s="33"/>
      <c r="N165" s="33"/>
      <c r="O165" s="33"/>
      <c r="P165" s="33" t="n">
        <v>2464</v>
      </c>
      <c r="Q165" s="33"/>
      <c r="R165" s="33"/>
      <c r="S165" s="33"/>
      <c r="T165" s="33" t="n">
        <v>3727</v>
      </c>
      <c r="U165" s="33" t="n">
        <v>1097</v>
      </c>
      <c r="V165" s="33"/>
      <c r="W165" s="33"/>
      <c r="X165" s="33"/>
      <c r="Y165" s="33"/>
      <c r="Z165" s="33"/>
      <c r="AA165" s="34" t="n">
        <f aca="false">SUM(K165:Z165)</f>
        <v>12052</v>
      </c>
      <c r="AB165" s="35" t="n">
        <f aca="false">SUM(AA165/H165)</f>
        <v>10956.3636363636</v>
      </c>
      <c r="AC165" s="36" t="n">
        <f aca="false">AB165/$AB$2</f>
        <v>730.424242424242</v>
      </c>
    </row>
    <row r="166" customFormat="false" ht="19.5" hidden="false" customHeight="true" outlineLevel="0" collapsed="false">
      <c r="A166" s="65" t="s">
        <v>132</v>
      </c>
      <c r="B166" s="45" t="s">
        <v>17</v>
      </c>
      <c r="C166" s="25" t="n">
        <v>801</v>
      </c>
      <c r="D166" s="26" t="s">
        <v>133</v>
      </c>
      <c r="E166" s="27" t="s">
        <v>23</v>
      </c>
      <c r="F166" s="28" t="s">
        <v>20</v>
      </c>
      <c r="G166" s="29" t="n">
        <v>1</v>
      </c>
      <c r="H166" s="30" t="n">
        <v>0.93</v>
      </c>
      <c r="I166" s="31" t="s">
        <v>22</v>
      </c>
      <c r="J166" s="32" t="n">
        <v>45924</v>
      </c>
      <c r="K166" s="33" t="n">
        <v>1184</v>
      </c>
      <c r="L166" s="33"/>
      <c r="M166" s="33"/>
      <c r="N166" s="33" t="n">
        <v>659</v>
      </c>
      <c r="O166" s="33" t="n">
        <v>1864</v>
      </c>
      <c r="P166" s="33"/>
      <c r="Q166" s="33"/>
      <c r="R166" s="33" t="n">
        <v>1361</v>
      </c>
      <c r="S166" s="33"/>
      <c r="T166" s="33"/>
      <c r="U166" s="33"/>
      <c r="V166" s="33"/>
      <c r="W166" s="33" t="n">
        <v>1748</v>
      </c>
      <c r="X166" s="33"/>
      <c r="Y166" s="33"/>
      <c r="Z166" s="33"/>
      <c r="AA166" s="34" t="n">
        <f aca="false">SUM(K166:Z166)</f>
        <v>6816</v>
      </c>
      <c r="AB166" s="35" t="n">
        <f aca="false">SUM(AA166/H166)</f>
        <v>7329.03225806452</v>
      </c>
      <c r="AC166" s="36" t="n">
        <f aca="false">AB166/$AB$2</f>
        <v>488.602150537634</v>
      </c>
    </row>
    <row r="167" customFormat="false" ht="19.5" hidden="false" customHeight="true" outlineLevel="0" collapsed="false">
      <c r="A167" s="65" t="s">
        <v>132</v>
      </c>
      <c r="B167" s="45" t="s">
        <v>17</v>
      </c>
      <c r="C167" s="25" t="n">
        <v>801</v>
      </c>
      <c r="D167" s="26" t="s">
        <v>133</v>
      </c>
      <c r="E167" s="27" t="s">
        <v>171</v>
      </c>
      <c r="F167" s="28" t="s">
        <v>49</v>
      </c>
      <c r="G167" s="29" t="s">
        <v>172</v>
      </c>
      <c r="H167" s="30" t="n">
        <v>1.86</v>
      </c>
      <c r="I167" s="31" t="s">
        <v>22</v>
      </c>
      <c r="J167" s="32" t="n">
        <v>45891</v>
      </c>
      <c r="K167" s="33"/>
      <c r="L167" s="33" t="n">
        <v>4082</v>
      </c>
      <c r="M167" s="33"/>
      <c r="N167" s="33"/>
      <c r="O167" s="33"/>
      <c r="P167" s="33" t="n">
        <v>1602</v>
      </c>
      <c r="Q167" s="33" t="n">
        <v>1402</v>
      </c>
      <c r="R167" s="33"/>
      <c r="S167" s="33"/>
      <c r="T167" s="33"/>
      <c r="U167" s="33" t="n">
        <v>4683</v>
      </c>
      <c r="V167" s="33"/>
      <c r="W167" s="33"/>
      <c r="X167" s="33" t="n">
        <v>585</v>
      </c>
      <c r="Y167" s="33" t="n">
        <v>1860</v>
      </c>
      <c r="Z167" s="33"/>
      <c r="AA167" s="34" t="n">
        <f aca="false">SUM(K167:Z167)</f>
        <v>14214</v>
      </c>
      <c r="AB167" s="35" t="n">
        <f aca="false">SUM(AA167/H167)</f>
        <v>7641.93548387097</v>
      </c>
      <c r="AC167" s="36" t="n">
        <f aca="false">AB167/$AB$2</f>
        <v>509.462365591398</v>
      </c>
    </row>
    <row r="168" customFormat="false" ht="19.5" hidden="false" customHeight="true" outlineLevel="0" collapsed="false">
      <c r="A168" s="46" t="s">
        <v>60</v>
      </c>
      <c r="B168" s="45" t="s">
        <v>17</v>
      </c>
      <c r="C168" s="25" t="n">
        <v>604</v>
      </c>
      <c r="D168" s="26" t="s">
        <v>163</v>
      </c>
      <c r="E168" s="27" t="s">
        <v>173</v>
      </c>
      <c r="F168" s="28" t="s">
        <v>87</v>
      </c>
      <c r="G168" s="29" t="s">
        <v>174</v>
      </c>
      <c r="H168" s="30" t="n">
        <v>1.8</v>
      </c>
      <c r="I168" s="31" t="s">
        <v>22</v>
      </c>
      <c r="J168" s="32" t="n">
        <v>45922</v>
      </c>
      <c r="K168" s="33" t="n">
        <v>774</v>
      </c>
      <c r="L168" s="33" t="n">
        <v>1895</v>
      </c>
      <c r="M168" s="33" t="n">
        <v>387</v>
      </c>
      <c r="N168" s="33"/>
      <c r="O168" s="33"/>
      <c r="P168" s="33"/>
      <c r="Q168" s="33" t="n">
        <v>364</v>
      </c>
      <c r="R168" s="33"/>
      <c r="S168" s="33"/>
      <c r="T168" s="33"/>
      <c r="U168" s="33"/>
      <c r="V168" s="33"/>
      <c r="W168" s="33" t="n">
        <v>4367</v>
      </c>
      <c r="X168" s="33" t="n">
        <v>169</v>
      </c>
      <c r="Y168" s="33"/>
      <c r="Z168" s="33"/>
      <c r="AA168" s="34" t="n">
        <f aca="false">SUM(K168:Z168)</f>
        <v>7956</v>
      </c>
      <c r="AB168" s="35" t="n">
        <f aca="false">SUM(AA168/H168)</f>
        <v>4420</v>
      </c>
      <c r="AC168" s="36" t="n">
        <f aca="false">AB168/$AB$2</f>
        <v>294.666666666667</v>
      </c>
    </row>
    <row r="169" customFormat="false" ht="19.5" hidden="false" customHeight="true" outlineLevel="0" collapsed="false">
      <c r="A169" s="39" t="s">
        <v>29</v>
      </c>
      <c r="B169" s="45" t="s">
        <v>30</v>
      </c>
      <c r="C169" s="25" t="n">
        <v>502</v>
      </c>
      <c r="D169" s="26" t="s">
        <v>31</v>
      </c>
      <c r="E169" s="27" t="s">
        <v>35</v>
      </c>
      <c r="F169" s="28" t="s">
        <v>20</v>
      </c>
      <c r="G169" s="29" t="s">
        <v>175</v>
      </c>
      <c r="H169" s="30" t="n">
        <v>1.82</v>
      </c>
      <c r="I169" s="41" t="s">
        <v>40</v>
      </c>
      <c r="J169" s="32" t="n">
        <v>46058</v>
      </c>
      <c r="K169" s="33"/>
      <c r="L169" s="33"/>
      <c r="M169" s="33"/>
      <c r="N169" s="33"/>
      <c r="O169" s="33"/>
      <c r="P169" s="33"/>
      <c r="Q169" s="33" t="n">
        <v>866</v>
      </c>
      <c r="R169" s="33"/>
      <c r="S169" s="33" t="n">
        <v>965</v>
      </c>
      <c r="T169" s="33"/>
      <c r="U169" s="33" t="n">
        <v>878</v>
      </c>
      <c r="V169" s="33"/>
      <c r="W169" s="33" t="n">
        <v>1006</v>
      </c>
      <c r="X169" s="33"/>
      <c r="Y169" s="33" t="n">
        <v>990</v>
      </c>
      <c r="Z169" s="33"/>
      <c r="AA169" s="34" t="n">
        <f aca="false">SUM(K169:Z169)</f>
        <v>4705</v>
      </c>
      <c r="AB169" s="35" t="n">
        <f aca="false">SUM(AA169/H169)</f>
        <v>2585.16483516484</v>
      </c>
      <c r="AC169" s="36" t="n">
        <f aca="false">AB169/$AB$2</f>
        <v>172.344322344322</v>
      </c>
    </row>
    <row r="170" customFormat="false" ht="19.5" hidden="false" customHeight="true" outlineLevel="0" collapsed="false">
      <c r="A170" s="24" t="s">
        <v>42</v>
      </c>
      <c r="B170" s="45" t="s">
        <v>43</v>
      </c>
      <c r="C170" s="25" t="n">
        <v>101</v>
      </c>
      <c r="D170" s="26" t="s">
        <v>54</v>
      </c>
      <c r="E170" s="27" t="s">
        <v>48</v>
      </c>
      <c r="F170" s="28" t="s">
        <v>49</v>
      </c>
      <c r="G170" s="29" t="s">
        <v>139</v>
      </c>
      <c r="H170" s="30" t="n">
        <v>2.8</v>
      </c>
      <c r="I170" s="31" t="s">
        <v>22</v>
      </c>
      <c r="J170" s="32" t="n">
        <v>45878</v>
      </c>
      <c r="K170" s="33"/>
      <c r="L170" s="33" t="n">
        <v>4964</v>
      </c>
      <c r="M170" s="33"/>
      <c r="N170" s="33"/>
      <c r="O170" s="33"/>
      <c r="P170" s="33"/>
      <c r="Q170" s="33" t="n">
        <v>6806</v>
      </c>
      <c r="R170" s="33"/>
      <c r="S170" s="33"/>
      <c r="T170" s="33" t="n">
        <v>793</v>
      </c>
      <c r="U170" s="33" t="n">
        <v>6862</v>
      </c>
      <c r="V170" s="33"/>
      <c r="W170" s="33" t="n">
        <v>782</v>
      </c>
      <c r="X170" s="33"/>
      <c r="Y170" s="33" t="n">
        <v>3793</v>
      </c>
      <c r="Z170" s="33"/>
      <c r="AA170" s="34" t="n">
        <f aca="false">SUM(K170:Z170)</f>
        <v>24000</v>
      </c>
      <c r="AB170" s="35" t="n">
        <f aca="false">SUM(AA170/H170)</f>
        <v>8571.42857142857</v>
      </c>
      <c r="AC170" s="36" t="n">
        <f aca="false">AB170/$AB$2</f>
        <v>571.428571428571</v>
      </c>
    </row>
    <row r="171" customFormat="false" ht="19.5" hidden="false" customHeight="true" outlineLevel="0" collapsed="false">
      <c r="A171" s="50" t="s">
        <v>83</v>
      </c>
      <c r="B171" s="45" t="s">
        <v>84</v>
      </c>
      <c r="C171" s="25" t="n">
        <v>201</v>
      </c>
      <c r="D171" s="26" t="s">
        <v>124</v>
      </c>
      <c r="E171" s="27" t="s">
        <v>19</v>
      </c>
      <c r="F171" s="28" t="s">
        <v>20</v>
      </c>
      <c r="G171" s="29" t="s">
        <v>176</v>
      </c>
      <c r="H171" s="30" t="n">
        <v>3.24</v>
      </c>
      <c r="I171" s="31" t="s">
        <v>22</v>
      </c>
      <c r="J171" s="32" t="n">
        <v>45922</v>
      </c>
      <c r="K171" s="33"/>
      <c r="L171" s="33" t="n">
        <v>10163</v>
      </c>
      <c r="M171" s="33" t="n">
        <v>764</v>
      </c>
      <c r="N171" s="33"/>
      <c r="O171" s="33" t="n">
        <v>4110</v>
      </c>
      <c r="P171" s="33" t="n">
        <v>3921</v>
      </c>
      <c r="Q171" s="33" t="n">
        <v>1708</v>
      </c>
      <c r="R171" s="33"/>
      <c r="S171" s="33" t="n">
        <v>4770</v>
      </c>
      <c r="T171" s="33"/>
      <c r="U171" s="33" t="n">
        <v>5446</v>
      </c>
      <c r="V171" s="33" t="n">
        <v>5206</v>
      </c>
      <c r="W171" s="33" t="n">
        <v>5908</v>
      </c>
      <c r="X171" s="33" t="n">
        <v>4719</v>
      </c>
      <c r="Y171" s="33" t="n">
        <v>4288</v>
      </c>
      <c r="Z171" s="33"/>
      <c r="AA171" s="34" t="n">
        <f aca="false">SUM(K171:Z171)</f>
        <v>51003</v>
      </c>
      <c r="AB171" s="35" t="n">
        <f aca="false">SUM(AA171/H171)</f>
        <v>15741.6666666667</v>
      </c>
      <c r="AC171" s="36" t="n">
        <f aca="false">AB171/$AB$2</f>
        <v>1049.44444444444</v>
      </c>
    </row>
    <row r="172" customFormat="false" ht="19.5" hidden="false" customHeight="true" outlineLevel="0" collapsed="false">
      <c r="A172" s="50" t="s">
        <v>83</v>
      </c>
      <c r="B172" s="45" t="s">
        <v>84</v>
      </c>
      <c r="C172" s="25" t="n">
        <v>205</v>
      </c>
      <c r="D172" s="26" t="s">
        <v>128</v>
      </c>
      <c r="E172" s="27" t="s">
        <v>32</v>
      </c>
      <c r="F172" s="28" t="s">
        <v>33</v>
      </c>
      <c r="G172" s="29" t="s">
        <v>101</v>
      </c>
      <c r="H172" s="30" t="n">
        <v>2</v>
      </c>
      <c r="I172" s="31" t="s">
        <v>22</v>
      </c>
      <c r="J172" s="32" t="n">
        <v>45892</v>
      </c>
      <c r="K172" s="33"/>
      <c r="L172" s="33"/>
      <c r="M172" s="33"/>
      <c r="N172" s="33"/>
      <c r="O172" s="33" t="n">
        <v>5505</v>
      </c>
      <c r="P172" s="33"/>
      <c r="Q172" s="33"/>
      <c r="R172" s="33"/>
      <c r="S172" s="33"/>
      <c r="T172" s="33"/>
      <c r="U172" s="33" t="n">
        <v>5062</v>
      </c>
      <c r="V172" s="33"/>
      <c r="W172" s="33"/>
      <c r="X172" s="33"/>
      <c r="Y172" s="33" t="n">
        <v>2148</v>
      </c>
      <c r="Z172" s="33"/>
      <c r="AA172" s="34" t="n">
        <f aca="false">SUM(K172:Z172)</f>
        <v>12715</v>
      </c>
      <c r="AB172" s="35" t="n">
        <f aca="false">SUM(AA172/H172)</f>
        <v>6357.5</v>
      </c>
      <c r="AC172" s="36" t="n">
        <f aca="false">AB172/$AB$2</f>
        <v>423.833333333333</v>
      </c>
    </row>
    <row r="173" customFormat="false" ht="19.5" hidden="false" customHeight="true" outlineLevel="0" collapsed="false">
      <c r="A173" s="51" t="s">
        <v>97</v>
      </c>
      <c r="B173" s="45" t="s">
        <v>66</v>
      </c>
      <c r="C173" s="25" t="n">
        <v>901</v>
      </c>
      <c r="D173" s="26" t="s">
        <v>98</v>
      </c>
      <c r="E173" s="27" t="s">
        <v>164</v>
      </c>
      <c r="F173" s="28" t="s">
        <v>87</v>
      </c>
      <c r="G173" s="29" t="s">
        <v>89</v>
      </c>
      <c r="H173" s="30" t="n">
        <v>2</v>
      </c>
      <c r="I173" s="31" t="s">
        <v>22</v>
      </c>
      <c r="J173" s="32" t="n">
        <v>45895</v>
      </c>
      <c r="K173" s="33" t="n">
        <v>1141</v>
      </c>
      <c r="L173" s="33"/>
      <c r="M173" s="33"/>
      <c r="N173" s="33" t="n">
        <v>4830</v>
      </c>
      <c r="O173" s="33"/>
      <c r="P173" s="33"/>
      <c r="Q173" s="33"/>
      <c r="R173" s="33"/>
      <c r="S173" s="33"/>
      <c r="T173" s="33" t="n">
        <v>1383</v>
      </c>
      <c r="U173" s="33" t="n">
        <v>2396</v>
      </c>
      <c r="V173" s="33" t="n">
        <v>1110</v>
      </c>
      <c r="W173" s="33"/>
      <c r="X173" s="33"/>
      <c r="Y173" s="33"/>
      <c r="Z173" s="33"/>
      <c r="AA173" s="34" t="n">
        <f aca="false">SUM(K173:Z173)</f>
        <v>10860</v>
      </c>
      <c r="AB173" s="35" t="n">
        <f aca="false">SUM(AA173/H173)</f>
        <v>5430</v>
      </c>
      <c r="AC173" s="36" t="n">
        <f aca="false">AB173/$AB$2</f>
        <v>362</v>
      </c>
    </row>
    <row r="174" customFormat="false" ht="19.5" hidden="false" customHeight="true" outlineLevel="0" collapsed="false">
      <c r="A174" s="46" t="s">
        <v>60</v>
      </c>
      <c r="B174" s="45" t="s">
        <v>17</v>
      </c>
      <c r="C174" s="25" t="n">
        <v>703</v>
      </c>
      <c r="D174" s="26" t="s">
        <v>149</v>
      </c>
      <c r="E174" s="27" t="s">
        <v>48</v>
      </c>
      <c r="F174" s="28" t="s">
        <v>49</v>
      </c>
      <c r="G174" s="29" t="n">
        <v>10</v>
      </c>
      <c r="H174" s="30" t="n">
        <v>1</v>
      </c>
      <c r="I174" s="31" t="s">
        <v>22</v>
      </c>
      <c r="J174" s="32" t="n">
        <v>45898</v>
      </c>
      <c r="K174" s="33" t="n">
        <v>4307</v>
      </c>
      <c r="L174" s="33"/>
      <c r="M174" s="33"/>
      <c r="N174" s="33" t="n">
        <v>2738</v>
      </c>
      <c r="O174" s="33"/>
      <c r="P174" s="33"/>
      <c r="Q174" s="33" t="n">
        <v>2975</v>
      </c>
      <c r="R174" s="33"/>
      <c r="S174" s="33"/>
      <c r="T174" s="33"/>
      <c r="U174" s="33" t="n">
        <v>4238</v>
      </c>
      <c r="V174" s="33"/>
      <c r="W174" s="33"/>
      <c r="X174" s="33" t="n">
        <v>3248</v>
      </c>
      <c r="Y174" s="33"/>
      <c r="Z174" s="33"/>
      <c r="AA174" s="34" t="n">
        <f aca="false">SUM(K174:Z174)</f>
        <v>17506</v>
      </c>
      <c r="AB174" s="35" t="n">
        <f aca="false">SUM(AA174/H174)</f>
        <v>17506</v>
      </c>
      <c r="AC174" s="36" t="n">
        <f aca="false">AB174/$AB$2</f>
        <v>1167.06666666667</v>
      </c>
    </row>
    <row r="175" customFormat="false" ht="19.5" hidden="false" customHeight="true" outlineLevel="0" collapsed="false">
      <c r="A175" s="24" t="s">
        <v>42</v>
      </c>
      <c r="B175" s="45" t="s">
        <v>43</v>
      </c>
      <c r="C175" s="25" t="n">
        <v>103</v>
      </c>
      <c r="D175" s="26" t="s">
        <v>125</v>
      </c>
      <c r="E175" s="27" t="s">
        <v>32</v>
      </c>
      <c r="F175" s="28" t="s">
        <v>33</v>
      </c>
      <c r="G175" s="29" t="s">
        <v>81</v>
      </c>
      <c r="H175" s="30" t="n">
        <v>1</v>
      </c>
      <c r="I175" s="31" t="s">
        <v>22</v>
      </c>
      <c r="J175" s="32" t="n">
        <v>45908</v>
      </c>
      <c r="K175" s="33"/>
      <c r="L175" s="33"/>
      <c r="M175" s="33"/>
      <c r="N175" s="33" t="n">
        <v>2196</v>
      </c>
      <c r="O175" s="33"/>
      <c r="P175" s="33"/>
      <c r="Q175" s="33"/>
      <c r="R175" s="33" t="n">
        <v>1353</v>
      </c>
      <c r="S175" s="33"/>
      <c r="T175" s="33"/>
      <c r="U175" s="33"/>
      <c r="V175" s="33" t="n">
        <v>2260</v>
      </c>
      <c r="W175" s="33"/>
      <c r="X175" s="33"/>
      <c r="Y175" s="33"/>
      <c r="Z175" s="33"/>
      <c r="AA175" s="34" t="n">
        <f aca="false">SUM(K175:Z175)</f>
        <v>5809</v>
      </c>
      <c r="AB175" s="35" t="n">
        <f aca="false">SUM(AA175/H175)</f>
        <v>5809</v>
      </c>
      <c r="AC175" s="36" t="n">
        <f aca="false">AB175/$AB$2</f>
        <v>387.266666666667</v>
      </c>
    </row>
    <row r="176" customFormat="false" ht="19.5" hidden="false" customHeight="true" outlineLevel="0" collapsed="false">
      <c r="A176" s="46" t="s">
        <v>60</v>
      </c>
      <c r="B176" s="45" t="s">
        <v>17</v>
      </c>
      <c r="C176" s="25" t="n">
        <v>705</v>
      </c>
      <c r="D176" s="26" t="s">
        <v>154</v>
      </c>
      <c r="E176" s="27" t="s">
        <v>35</v>
      </c>
      <c r="F176" s="28" t="s">
        <v>20</v>
      </c>
      <c r="G176" s="29" t="n">
        <v>8</v>
      </c>
      <c r="H176" s="30" t="n">
        <v>1</v>
      </c>
      <c r="I176" s="31" t="s">
        <v>22</v>
      </c>
      <c r="J176" s="32" t="n">
        <v>45882</v>
      </c>
      <c r="K176" s="33"/>
      <c r="L176" s="33" t="n">
        <v>422</v>
      </c>
      <c r="M176" s="33" t="n">
        <v>354</v>
      </c>
      <c r="N176" s="33"/>
      <c r="O176" s="33" t="n">
        <v>568</v>
      </c>
      <c r="P176" s="33"/>
      <c r="Q176" s="33"/>
      <c r="R176" s="33"/>
      <c r="S176" s="33" t="n">
        <v>674</v>
      </c>
      <c r="T176" s="33"/>
      <c r="U176" s="33" t="n">
        <v>318</v>
      </c>
      <c r="V176" s="33"/>
      <c r="W176" s="33" t="n">
        <v>1046</v>
      </c>
      <c r="X176" s="33"/>
      <c r="Y176" s="33"/>
      <c r="Z176" s="33"/>
      <c r="AA176" s="34" t="n">
        <f aca="false">SUM(K176:Z176)</f>
        <v>3382</v>
      </c>
      <c r="AB176" s="35" t="n">
        <f aca="false">SUM(AA176/H176)</f>
        <v>3382</v>
      </c>
      <c r="AC176" s="36" t="n">
        <f aca="false">AB176/$AB$2</f>
        <v>225.466666666667</v>
      </c>
    </row>
    <row r="177" customFormat="false" ht="19.5" hidden="false" customHeight="true" outlineLevel="0" collapsed="false">
      <c r="A177" s="46" t="s">
        <v>60</v>
      </c>
      <c r="B177" s="45" t="s">
        <v>17</v>
      </c>
      <c r="C177" s="25" t="n">
        <v>705</v>
      </c>
      <c r="D177" s="26" t="s">
        <v>154</v>
      </c>
      <c r="E177" s="27" t="s">
        <v>19</v>
      </c>
      <c r="F177" s="28" t="s">
        <v>20</v>
      </c>
      <c r="G177" s="29" t="s">
        <v>36</v>
      </c>
      <c r="H177" s="30" t="n">
        <v>2</v>
      </c>
      <c r="I177" s="31" t="s">
        <v>22</v>
      </c>
      <c r="J177" s="32" t="n">
        <v>45894</v>
      </c>
      <c r="K177" s="33" t="n">
        <v>2994</v>
      </c>
      <c r="L177" s="33"/>
      <c r="M177" s="33"/>
      <c r="N177" s="33" t="n">
        <v>3340</v>
      </c>
      <c r="O177" s="33"/>
      <c r="P177" s="33"/>
      <c r="Q177" s="33"/>
      <c r="R177" s="33" t="n">
        <v>3404</v>
      </c>
      <c r="S177" s="33"/>
      <c r="T177" s="33"/>
      <c r="U177" s="33"/>
      <c r="V177" s="33" t="n">
        <v>4804</v>
      </c>
      <c r="W177" s="33" t="n">
        <v>452</v>
      </c>
      <c r="X177" s="33"/>
      <c r="Y177" s="33" t="n">
        <v>3170</v>
      </c>
      <c r="Z177" s="33"/>
      <c r="AA177" s="34" t="n">
        <f aca="false">SUM(K177:Z177)</f>
        <v>18164</v>
      </c>
      <c r="AB177" s="35" t="n">
        <f aca="false">SUM(AA177/H177)</f>
        <v>9082</v>
      </c>
      <c r="AC177" s="36" t="n">
        <f aca="false">AB177/$AB$2</f>
        <v>605.466666666667</v>
      </c>
    </row>
    <row r="178" customFormat="false" ht="19.5" hidden="false" customHeight="true" outlineLevel="0" collapsed="false">
      <c r="A178" s="47" t="s">
        <v>65</v>
      </c>
      <c r="B178" s="45" t="s">
        <v>66</v>
      </c>
      <c r="C178" s="25" t="n">
        <v>905</v>
      </c>
      <c r="D178" s="26" t="s">
        <v>143</v>
      </c>
      <c r="E178" s="27" t="s">
        <v>32</v>
      </c>
      <c r="F178" s="28" t="s">
        <v>33</v>
      </c>
      <c r="G178" s="29" t="n">
        <v>3</v>
      </c>
      <c r="H178" s="30" t="n">
        <v>1.25</v>
      </c>
      <c r="I178" s="31" t="s">
        <v>22</v>
      </c>
      <c r="J178" s="32" t="n">
        <v>45899</v>
      </c>
      <c r="K178" s="33"/>
      <c r="L178" s="33"/>
      <c r="M178" s="33"/>
      <c r="N178" s="33"/>
      <c r="O178" s="33" t="n">
        <v>5308</v>
      </c>
      <c r="P178" s="33"/>
      <c r="Q178" s="33"/>
      <c r="R178" s="33"/>
      <c r="S178" s="33"/>
      <c r="T178" s="33"/>
      <c r="U178" s="33"/>
      <c r="V178" s="33" t="n">
        <v>4543</v>
      </c>
      <c r="W178" s="33"/>
      <c r="X178" s="33"/>
      <c r="Y178" s="33"/>
      <c r="Z178" s="33"/>
      <c r="AA178" s="34" t="n">
        <f aca="false">SUM(K178:Z178)</f>
        <v>9851</v>
      </c>
      <c r="AB178" s="35" t="n">
        <f aca="false">SUM(AA178/H178)</f>
        <v>7880.8</v>
      </c>
      <c r="AC178" s="36" t="n">
        <f aca="false">AB178/$AB$2</f>
        <v>525.386666666667</v>
      </c>
    </row>
    <row r="179" customFormat="false" ht="19.5" hidden="false" customHeight="true" outlineLevel="0" collapsed="false">
      <c r="A179" s="24" t="s">
        <v>42</v>
      </c>
      <c r="B179" s="45" t="s">
        <v>43</v>
      </c>
      <c r="C179" s="25" t="n">
        <v>103</v>
      </c>
      <c r="D179" s="26" t="s">
        <v>125</v>
      </c>
      <c r="E179" s="27" t="s">
        <v>86</v>
      </c>
      <c r="F179" s="28" t="s">
        <v>87</v>
      </c>
      <c r="G179" s="29" t="s">
        <v>41</v>
      </c>
      <c r="H179" s="30" t="n">
        <v>1.33</v>
      </c>
      <c r="I179" s="31" t="s">
        <v>22</v>
      </c>
      <c r="J179" s="32" t="n">
        <v>45900</v>
      </c>
      <c r="K179" s="33" t="n">
        <v>1621</v>
      </c>
      <c r="L179" s="33"/>
      <c r="M179" s="33"/>
      <c r="N179" s="33"/>
      <c r="O179" s="33"/>
      <c r="P179" s="33"/>
      <c r="Q179" s="33"/>
      <c r="R179" s="33" t="n">
        <v>1097</v>
      </c>
      <c r="S179" s="33"/>
      <c r="T179" s="33"/>
      <c r="U179" s="33"/>
      <c r="V179" s="33"/>
      <c r="W179" s="33"/>
      <c r="X179" s="33" t="n">
        <v>1981</v>
      </c>
      <c r="Y179" s="33"/>
      <c r="Z179" s="33"/>
      <c r="AA179" s="34" t="n">
        <f aca="false">SUM(K179:Z179)</f>
        <v>4699</v>
      </c>
      <c r="AB179" s="35" t="n">
        <f aca="false">SUM(AA179/H179)</f>
        <v>3533.08270676692</v>
      </c>
      <c r="AC179" s="36" t="n">
        <f aca="false">AB179/$AB$2</f>
        <v>235.538847117794</v>
      </c>
    </row>
    <row r="180" customFormat="false" ht="19.5" hidden="false" customHeight="true" outlineLevel="0" collapsed="false">
      <c r="A180" s="51" t="s">
        <v>97</v>
      </c>
      <c r="B180" s="45" t="s">
        <v>66</v>
      </c>
      <c r="C180" s="25" t="n">
        <v>901</v>
      </c>
      <c r="D180" s="26" t="s">
        <v>98</v>
      </c>
      <c r="E180" s="27" t="s">
        <v>173</v>
      </c>
      <c r="F180" s="28" t="s">
        <v>87</v>
      </c>
      <c r="G180" s="29" t="s">
        <v>88</v>
      </c>
      <c r="H180" s="30" t="n">
        <v>2</v>
      </c>
      <c r="I180" s="31" t="s">
        <v>22</v>
      </c>
      <c r="J180" s="32" t="n">
        <v>45923</v>
      </c>
      <c r="K180" s="33" t="n">
        <v>1759</v>
      </c>
      <c r="L180" s="33"/>
      <c r="M180" s="33"/>
      <c r="N180" s="33"/>
      <c r="O180" s="33"/>
      <c r="P180" s="33"/>
      <c r="Q180" s="33" t="n">
        <v>2456</v>
      </c>
      <c r="R180" s="33"/>
      <c r="S180" s="33" t="n">
        <v>4669</v>
      </c>
      <c r="T180" s="33" t="n">
        <v>695</v>
      </c>
      <c r="U180" s="33"/>
      <c r="V180" s="33"/>
      <c r="W180" s="33"/>
      <c r="X180" s="33"/>
      <c r="Y180" s="33"/>
      <c r="Z180" s="33"/>
      <c r="AA180" s="34" t="n">
        <f aca="false">SUM(K180:Z180)</f>
        <v>9579</v>
      </c>
      <c r="AB180" s="35" t="n">
        <f aca="false">SUM(AA180/H180)</f>
        <v>4789.5</v>
      </c>
      <c r="AC180" s="36" t="n">
        <f aca="false">AB180/$AB$2</f>
        <v>319.3</v>
      </c>
    </row>
    <row r="181" customFormat="false" ht="19.5" hidden="false" customHeight="true" outlineLevel="0" collapsed="false">
      <c r="A181" s="44" t="s">
        <v>57</v>
      </c>
      <c r="B181" s="45" t="s">
        <v>58</v>
      </c>
      <c r="C181" s="25" t="n">
        <v>602</v>
      </c>
      <c r="D181" s="26" t="s">
        <v>82</v>
      </c>
      <c r="E181" s="27" t="s">
        <v>171</v>
      </c>
      <c r="F181" s="28" t="s">
        <v>49</v>
      </c>
      <c r="G181" s="29" t="s">
        <v>45</v>
      </c>
      <c r="H181" s="30" t="n">
        <v>2.25</v>
      </c>
      <c r="I181" s="31" t="s">
        <v>22</v>
      </c>
      <c r="J181" s="32" t="n">
        <v>45909</v>
      </c>
      <c r="K181" s="33" t="n">
        <v>5544</v>
      </c>
      <c r="L181" s="33"/>
      <c r="M181" s="33"/>
      <c r="N181" s="33" t="n">
        <v>4360</v>
      </c>
      <c r="O181" s="33"/>
      <c r="P181" s="33"/>
      <c r="Q181" s="33"/>
      <c r="R181" s="33"/>
      <c r="S181" s="33" t="n">
        <v>6185</v>
      </c>
      <c r="T181" s="33"/>
      <c r="U181" s="33"/>
      <c r="V181" s="33" t="n">
        <v>4796</v>
      </c>
      <c r="W181" s="33"/>
      <c r="X181" s="33"/>
      <c r="Y181" s="33" t="n">
        <v>3899</v>
      </c>
      <c r="Z181" s="33"/>
      <c r="AA181" s="34" t="n">
        <f aca="false">SUM(K181:Z181)</f>
        <v>24784</v>
      </c>
      <c r="AB181" s="35" t="n">
        <f aca="false">SUM(AA181/H181)</f>
        <v>11015.1111111111</v>
      </c>
      <c r="AC181" s="36" t="n">
        <f aca="false">AB181/$AB$2</f>
        <v>734.340740740741</v>
      </c>
    </row>
    <row r="182" customFormat="false" ht="19.5" hidden="false" customHeight="true" outlineLevel="0" collapsed="false">
      <c r="A182" s="24" t="s">
        <v>42</v>
      </c>
      <c r="B182" s="45" t="s">
        <v>43</v>
      </c>
      <c r="C182" s="25" t="n">
        <v>104</v>
      </c>
      <c r="D182" s="26" t="s">
        <v>95</v>
      </c>
      <c r="E182" s="27" t="s">
        <v>112</v>
      </c>
      <c r="F182" s="28" t="s">
        <v>33</v>
      </c>
      <c r="G182" s="29" t="s">
        <v>177</v>
      </c>
      <c r="H182" s="30" t="n">
        <v>2.2</v>
      </c>
      <c r="I182" s="31" t="s">
        <v>22</v>
      </c>
      <c r="J182" s="32" t="n">
        <v>45901</v>
      </c>
      <c r="K182" s="33" t="n">
        <v>2288</v>
      </c>
      <c r="L182" s="33" t="n">
        <v>1747</v>
      </c>
      <c r="M182" s="33"/>
      <c r="N182" s="33"/>
      <c r="O182" s="33"/>
      <c r="P182" s="33"/>
      <c r="Q182" s="33" t="n">
        <v>3689</v>
      </c>
      <c r="R182" s="33"/>
      <c r="S182" s="33"/>
      <c r="T182" s="33"/>
      <c r="U182" s="33"/>
      <c r="V182" s="33" t="n">
        <v>4286</v>
      </c>
      <c r="W182" s="33" t="n">
        <v>1248</v>
      </c>
      <c r="X182" s="33"/>
      <c r="Y182" s="33"/>
      <c r="Z182" s="33"/>
      <c r="AA182" s="34" t="n">
        <f aca="false">SUM(K182:Z182)</f>
        <v>13258</v>
      </c>
      <c r="AB182" s="35" t="n">
        <f aca="false">SUM(AA182/H182)</f>
        <v>6026.36363636364</v>
      </c>
      <c r="AC182" s="36" t="n">
        <f aca="false">AB182/$AB$2</f>
        <v>401.757575757576</v>
      </c>
    </row>
    <row r="183" customFormat="false" ht="19.5" hidden="false" customHeight="true" outlineLevel="0" collapsed="false">
      <c r="A183" s="66" t="s">
        <v>16</v>
      </c>
      <c r="B183" s="45" t="s">
        <v>17</v>
      </c>
      <c r="C183" s="25" t="n">
        <v>702</v>
      </c>
      <c r="D183" s="26" t="s">
        <v>121</v>
      </c>
      <c r="E183" s="27" t="s">
        <v>50</v>
      </c>
      <c r="F183" s="28" t="s">
        <v>49</v>
      </c>
      <c r="G183" s="29" t="s">
        <v>41</v>
      </c>
      <c r="H183" s="30" t="n">
        <v>1.85</v>
      </c>
      <c r="I183" s="31" t="s">
        <v>22</v>
      </c>
      <c r="J183" s="32" t="n">
        <v>45900</v>
      </c>
      <c r="K183" s="33" t="n">
        <v>736</v>
      </c>
      <c r="L183" s="33"/>
      <c r="M183" s="33"/>
      <c r="N183" s="33"/>
      <c r="O183" s="33" t="n">
        <v>5963</v>
      </c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4" t="n">
        <f aca="false">SUM(K183:Z183)</f>
        <v>6699</v>
      </c>
      <c r="AB183" s="35" t="n">
        <f aca="false">SUM(AA183/H183)</f>
        <v>3621.08108108108</v>
      </c>
      <c r="AC183" s="36" t="n">
        <f aca="false">AB183/$AB$2</f>
        <v>241.405405405405</v>
      </c>
    </row>
    <row r="184" customFormat="false" ht="19.5" hidden="false" customHeight="true" outlineLevel="0" collapsed="false">
      <c r="A184" s="46" t="s">
        <v>60</v>
      </c>
      <c r="B184" s="45" t="s">
        <v>66</v>
      </c>
      <c r="C184" s="25" t="n">
        <v>403</v>
      </c>
      <c r="D184" s="26" t="s">
        <v>178</v>
      </c>
      <c r="E184" s="27" t="s">
        <v>48</v>
      </c>
      <c r="F184" s="28" t="s">
        <v>49</v>
      </c>
      <c r="G184" s="29" t="s">
        <v>179</v>
      </c>
      <c r="H184" s="30" t="n">
        <v>4</v>
      </c>
      <c r="I184" s="31" t="s">
        <v>22</v>
      </c>
      <c r="J184" s="32" t="n">
        <v>45894</v>
      </c>
      <c r="K184" s="33" t="n">
        <v>5124</v>
      </c>
      <c r="L184" s="33" t="n">
        <v>4191</v>
      </c>
      <c r="M184" s="33" t="n">
        <v>4258</v>
      </c>
      <c r="N184" s="33" t="n">
        <v>3727</v>
      </c>
      <c r="O184" s="33" t="n">
        <v>3047</v>
      </c>
      <c r="P184" s="33"/>
      <c r="Q184" s="33" t="n">
        <v>5402</v>
      </c>
      <c r="R184" s="33" t="n">
        <v>6760</v>
      </c>
      <c r="S184" s="33"/>
      <c r="T184" s="33"/>
      <c r="U184" s="33" t="n">
        <v>7082</v>
      </c>
      <c r="V184" s="33" t="n">
        <v>3186</v>
      </c>
      <c r="W184" s="33"/>
      <c r="X184" s="33"/>
      <c r="Y184" s="33" t="n">
        <v>4970</v>
      </c>
      <c r="Z184" s="33"/>
      <c r="AA184" s="34" t="n">
        <f aca="false">SUM(K184:Z184)</f>
        <v>47747</v>
      </c>
      <c r="AB184" s="35" t="n">
        <f aca="false">SUM(AA184/H184)</f>
        <v>11936.75</v>
      </c>
      <c r="AC184" s="36" t="n">
        <f aca="false">AB184/$AB$2</f>
        <v>795.783333333333</v>
      </c>
    </row>
    <row r="185" customFormat="false" ht="19.5" hidden="false" customHeight="true" outlineLevel="0" collapsed="false">
      <c r="A185" s="46" t="s">
        <v>60</v>
      </c>
      <c r="B185" s="45" t="s">
        <v>17</v>
      </c>
      <c r="C185" s="25" t="n">
        <v>703</v>
      </c>
      <c r="D185" s="26" t="s">
        <v>149</v>
      </c>
      <c r="E185" s="27" t="s">
        <v>145</v>
      </c>
      <c r="F185" s="28" t="s">
        <v>49</v>
      </c>
      <c r="G185" s="29" t="s">
        <v>88</v>
      </c>
      <c r="H185" s="30" t="n">
        <v>3</v>
      </c>
      <c r="I185" s="31" t="s">
        <v>22</v>
      </c>
      <c r="J185" s="32" t="n">
        <v>45914</v>
      </c>
      <c r="K185" s="33" t="n">
        <v>285</v>
      </c>
      <c r="L185" s="33"/>
      <c r="M185" s="33" t="n">
        <v>7031</v>
      </c>
      <c r="N185" s="33"/>
      <c r="O185" s="33"/>
      <c r="P185" s="33" t="n">
        <v>6172</v>
      </c>
      <c r="Q185" s="33"/>
      <c r="R185" s="33"/>
      <c r="S185" s="33" t="n">
        <v>8137</v>
      </c>
      <c r="T185" s="33"/>
      <c r="U185" s="33"/>
      <c r="V185" s="33" t="n">
        <v>8197</v>
      </c>
      <c r="W185" s="33"/>
      <c r="X185" s="33"/>
      <c r="Y185" s="33" t="n">
        <v>7810</v>
      </c>
      <c r="Z185" s="33"/>
      <c r="AA185" s="34" t="n">
        <f aca="false">SUM(K185:Z185)</f>
        <v>37632</v>
      </c>
      <c r="AB185" s="35" t="n">
        <f aca="false">SUM(AA185/H185)</f>
        <v>12544</v>
      </c>
      <c r="AC185" s="36" t="n">
        <f aca="false">AB185/$AB$2</f>
        <v>836.266666666667</v>
      </c>
    </row>
    <row r="186" customFormat="false" ht="19.5" hidden="false" customHeight="true" outlineLevel="0" collapsed="false">
      <c r="A186" s="44" t="s">
        <v>57</v>
      </c>
      <c r="B186" s="45" t="s">
        <v>58</v>
      </c>
      <c r="C186" s="25" t="n">
        <v>603</v>
      </c>
      <c r="D186" s="26" t="s">
        <v>59</v>
      </c>
      <c r="E186" s="27" t="s">
        <v>146</v>
      </c>
      <c r="F186" s="59" t="s">
        <v>87</v>
      </c>
      <c r="G186" s="29" t="s">
        <v>36</v>
      </c>
      <c r="H186" s="30" t="n">
        <v>2</v>
      </c>
      <c r="I186" s="31" t="s">
        <v>22</v>
      </c>
      <c r="J186" s="32" t="n">
        <v>45857</v>
      </c>
      <c r="K186" s="33" t="n">
        <v>2897</v>
      </c>
      <c r="L186" s="33"/>
      <c r="M186" s="33" t="n">
        <v>4168</v>
      </c>
      <c r="N186" s="33" t="n">
        <v>3224</v>
      </c>
      <c r="O186" s="33"/>
      <c r="P186" s="33"/>
      <c r="Q186" s="33" t="n">
        <v>3921</v>
      </c>
      <c r="R186" s="33" t="n">
        <v>450</v>
      </c>
      <c r="S186" s="33" t="n">
        <v>4063</v>
      </c>
      <c r="T186" s="33" t="n">
        <v>2380</v>
      </c>
      <c r="U186" s="33" t="n">
        <v>2902</v>
      </c>
      <c r="V186" s="33" t="n">
        <v>5518</v>
      </c>
      <c r="W186" s="33"/>
      <c r="X186" s="33" t="n">
        <v>912</v>
      </c>
      <c r="Y186" s="33" t="n">
        <v>1851</v>
      </c>
      <c r="Z186" s="33"/>
      <c r="AA186" s="34" t="n">
        <f aca="false">SUM(K186:Z186)</f>
        <v>32286</v>
      </c>
      <c r="AB186" s="35" t="n">
        <f aca="false">SUM(AA186/H186)</f>
        <v>16143</v>
      </c>
      <c r="AC186" s="36" t="n">
        <f aca="false">AB186/$AB$2</f>
        <v>1076.2</v>
      </c>
    </row>
    <row r="187" customFormat="false" ht="19.5" hidden="true" customHeight="true" outlineLevel="0" collapsed="false">
      <c r="A187" s="46" t="s">
        <v>60</v>
      </c>
      <c r="B187" s="38" t="s">
        <v>17</v>
      </c>
      <c r="C187" s="25" t="n">
        <v>802</v>
      </c>
      <c r="D187" s="26" t="s">
        <v>61</v>
      </c>
      <c r="E187" s="27" t="s">
        <v>19</v>
      </c>
      <c r="F187" s="28" t="s">
        <v>20</v>
      </c>
      <c r="G187" s="29" t="n">
        <v>9</v>
      </c>
      <c r="H187" s="30" t="n">
        <v>1</v>
      </c>
      <c r="I187" s="31" t="s">
        <v>22</v>
      </c>
      <c r="J187" s="32" t="n">
        <v>45883</v>
      </c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4" t="n">
        <f aca="false">SUM(K187:Z187)</f>
        <v>0</v>
      </c>
      <c r="AB187" s="35" t="n">
        <f aca="false">SUM(AA187/H187)</f>
        <v>0</v>
      </c>
      <c r="AC187" s="36" t="n">
        <f aca="false">AB187/$AB$2</f>
        <v>0</v>
      </c>
    </row>
    <row r="188" customFormat="false" ht="19.5" hidden="false" customHeight="true" outlineLevel="0" collapsed="false">
      <c r="A188" s="24" t="s">
        <v>42</v>
      </c>
      <c r="B188" s="38" t="s">
        <v>43</v>
      </c>
      <c r="C188" s="25" t="n">
        <v>104</v>
      </c>
      <c r="D188" s="26" t="s">
        <v>95</v>
      </c>
      <c r="E188" s="27" t="s">
        <v>112</v>
      </c>
      <c r="F188" s="28" t="s">
        <v>33</v>
      </c>
      <c r="G188" s="29" t="s">
        <v>180</v>
      </c>
      <c r="H188" s="30" t="n">
        <v>2.28</v>
      </c>
      <c r="I188" s="31" t="s">
        <v>22</v>
      </c>
      <c r="J188" s="32" t="n">
        <v>45933</v>
      </c>
      <c r="K188" s="33"/>
      <c r="L188" s="33"/>
      <c r="M188" s="33"/>
      <c r="N188" s="33" t="n">
        <v>1424</v>
      </c>
      <c r="O188" s="33" t="n">
        <v>3322</v>
      </c>
      <c r="P188" s="33" t="n">
        <v>3347</v>
      </c>
      <c r="Q188" s="33"/>
      <c r="R188" s="33"/>
      <c r="S188" s="33" t="n">
        <v>3112</v>
      </c>
      <c r="T188" s="33" t="n">
        <v>725</v>
      </c>
      <c r="U188" s="33" t="n">
        <v>3912</v>
      </c>
      <c r="V188" s="33" t="n">
        <v>341</v>
      </c>
      <c r="W188" s="33" t="n">
        <v>1489</v>
      </c>
      <c r="X188" s="33"/>
      <c r="Y188" s="33"/>
      <c r="Z188" s="33"/>
      <c r="AA188" s="34" t="n">
        <f aca="false">SUM(K188:Z188)</f>
        <v>17672</v>
      </c>
      <c r="AB188" s="35" t="n">
        <f aca="false">SUM(AA188/H188)</f>
        <v>7750.87719298246</v>
      </c>
      <c r="AC188" s="36" t="n">
        <f aca="false">AB188/$AB$2</f>
        <v>516.72514619883</v>
      </c>
    </row>
    <row r="189" customFormat="false" ht="19.5" hidden="false" customHeight="true" outlineLevel="0" collapsed="false">
      <c r="A189" s="68" t="s">
        <v>155</v>
      </c>
      <c r="B189" s="38" t="s">
        <v>103</v>
      </c>
      <c r="C189" s="25" t="n">
        <v>1012</v>
      </c>
      <c r="D189" s="26" t="s">
        <v>156</v>
      </c>
      <c r="E189" s="27" t="s">
        <v>181</v>
      </c>
      <c r="F189" s="28" t="s">
        <v>20</v>
      </c>
      <c r="G189" s="29" t="s">
        <v>63</v>
      </c>
      <c r="H189" s="30" t="n">
        <v>2.23</v>
      </c>
      <c r="I189" s="31" t="s">
        <v>22</v>
      </c>
      <c r="J189" s="32" t="n">
        <v>45891</v>
      </c>
      <c r="K189" s="33"/>
      <c r="L189" s="33"/>
      <c r="M189" s="33"/>
      <c r="N189" s="33"/>
      <c r="O189" s="33" t="n">
        <v>2290</v>
      </c>
      <c r="P189" s="33" t="n">
        <v>2505</v>
      </c>
      <c r="Q189" s="33"/>
      <c r="R189" s="33"/>
      <c r="S189" s="33" t="n">
        <v>2508</v>
      </c>
      <c r="T189" s="33" t="n">
        <v>557</v>
      </c>
      <c r="U189" s="33"/>
      <c r="V189" s="33"/>
      <c r="W189" s="33"/>
      <c r="X189" s="33"/>
      <c r="Y189" s="33" t="n">
        <v>321</v>
      </c>
      <c r="Z189" s="33"/>
      <c r="AA189" s="34" t="n">
        <f aca="false">SUM(K189:Z189)</f>
        <v>8181</v>
      </c>
      <c r="AB189" s="35" t="n">
        <f aca="false">SUM(AA189/H189)</f>
        <v>3668.60986547085</v>
      </c>
      <c r="AC189" s="36" t="n">
        <f aca="false">AB189/$AB$2</f>
        <v>244.57399103139</v>
      </c>
    </row>
    <row r="190" customFormat="false" ht="19.5" hidden="false" customHeight="true" outlineLevel="0" collapsed="false">
      <c r="A190" s="24" t="s">
        <v>42</v>
      </c>
      <c r="B190" s="38" t="s">
        <v>43</v>
      </c>
      <c r="C190" s="25" t="n">
        <v>101</v>
      </c>
      <c r="D190" s="26" t="s">
        <v>54</v>
      </c>
      <c r="E190" s="27" t="s">
        <v>23</v>
      </c>
      <c r="F190" s="28" t="s">
        <v>20</v>
      </c>
      <c r="G190" s="29" t="s">
        <v>182</v>
      </c>
      <c r="H190" s="30" t="n">
        <v>2.25</v>
      </c>
      <c r="I190" s="31" t="s">
        <v>22</v>
      </c>
      <c r="J190" s="32" t="n">
        <v>45916</v>
      </c>
      <c r="K190" s="33" t="n">
        <v>4394</v>
      </c>
      <c r="L190" s="33"/>
      <c r="M190" s="33"/>
      <c r="N190" s="33"/>
      <c r="O190" s="33"/>
      <c r="P190" s="33"/>
      <c r="Q190" s="33" t="n">
        <v>3618</v>
      </c>
      <c r="R190" s="33"/>
      <c r="S190" s="33"/>
      <c r="T190" s="33"/>
      <c r="U190" s="33"/>
      <c r="V190" s="33"/>
      <c r="W190" s="33" t="n">
        <v>841</v>
      </c>
      <c r="X190" s="33" t="n">
        <v>4457</v>
      </c>
      <c r="Y190" s="33"/>
      <c r="Z190" s="33"/>
      <c r="AA190" s="34" t="n">
        <f aca="false">SUM(K190:Z190)</f>
        <v>13310</v>
      </c>
      <c r="AB190" s="35" t="n">
        <f aca="false">SUM(AA190/H190)</f>
        <v>5915.55555555556</v>
      </c>
      <c r="AC190" s="36" t="n">
        <f aca="false">AB190/$AB$2</f>
        <v>394.37037037037</v>
      </c>
    </row>
    <row r="191" customFormat="false" ht="19.5" hidden="false" customHeight="true" outlineLevel="0" collapsed="false">
      <c r="A191" s="24" t="s">
        <v>42</v>
      </c>
      <c r="B191" s="38" t="s">
        <v>43</v>
      </c>
      <c r="C191" s="25" t="n">
        <v>101</v>
      </c>
      <c r="D191" s="26" t="s">
        <v>54</v>
      </c>
      <c r="E191" s="27" t="s">
        <v>23</v>
      </c>
      <c r="F191" s="28" t="s">
        <v>20</v>
      </c>
      <c r="G191" s="29" t="s">
        <v>39</v>
      </c>
      <c r="H191" s="30" t="n">
        <v>3</v>
      </c>
      <c r="I191" s="31" t="s">
        <v>22</v>
      </c>
      <c r="J191" s="32" t="n">
        <v>45907</v>
      </c>
      <c r="K191" s="33"/>
      <c r="L191" s="33"/>
      <c r="M191" s="33" t="n">
        <v>4085</v>
      </c>
      <c r="N191" s="33" t="n">
        <v>5161</v>
      </c>
      <c r="O191" s="33"/>
      <c r="P191" s="33"/>
      <c r="Q191" s="33"/>
      <c r="R191" s="33"/>
      <c r="S191" s="33"/>
      <c r="T191" s="33"/>
      <c r="U191" s="33" t="n">
        <v>6472</v>
      </c>
      <c r="V191" s="33"/>
      <c r="W191" s="33" t="n">
        <v>5153</v>
      </c>
      <c r="X191" s="33"/>
      <c r="Y191" s="33"/>
      <c r="Z191" s="33"/>
      <c r="AA191" s="34" t="n">
        <f aca="false">SUM(K191:Z191)</f>
        <v>20871</v>
      </c>
      <c r="AB191" s="35" t="n">
        <f aca="false">SUM(AA191/H191)</f>
        <v>6957</v>
      </c>
      <c r="AC191" s="36" t="n">
        <f aca="false">AB191/$AB$2</f>
        <v>463.8</v>
      </c>
    </row>
    <row r="192" customFormat="false" ht="19.5" hidden="true" customHeight="true" outlineLevel="0" collapsed="false">
      <c r="A192" s="46" t="s">
        <v>60</v>
      </c>
      <c r="B192" s="38" t="s">
        <v>66</v>
      </c>
      <c r="C192" s="25" t="n">
        <v>403</v>
      </c>
      <c r="D192" s="26" t="s">
        <v>178</v>
      </c>
      <c r="E192" s="27" t="s">
        <v>183</v>
      </c>
      <c r="F192" s="28" t="s">
        <v>69</v>
      </c>
      <c r="G192" s="29" t="n">
        <v>1</v>
      </c>
      <c r="H192" s="30" t="n">
        <v>0.8</v>
      </c>
      <c r="I192" s="31" t="s">
        <v>22</v>
      </c>
      <c r="J192" s="32" t="n">
        <v>45921</v>
      </c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4" t="n">
        <f aca="false">SUM(K192:Z192)</f>
        <v>0</v>
      </c>
      <c r="AB192" s="35" t="n">
        <f aca="false">SUM(AA192/H192)</f>
        <v>0</v>
      </c>
      <c r="AC192" s="36" t="n">
        <f aca="false">AB192/$AB$2</f>
        <v>0</v>
      </c>
    </row>
    <row r="193" customFormat="false" ht="19.5" hidden="false" customHeight="true" outlineLevel="0" collapsed="false">
      <c r="A193" s="46" t="s">
        <v>60</v>
      </c>
      <c r="B193" s="38" t="s">
        <v>17</v>
      </c>
      <c r="C193" s="25" t="n">
        <v>802</v>
      </c>
      <c r="D193" s="26" t="s">
        <v>61</v>
      </c>
      <c r="E193" s="27" t="s">
        <v>74</v>
      </c>
      <c r="F193" s="28" t="s">
        <v>20</v>
      </c>
      <c r="G193" s="29" t="n">
        <v>2</v>
      </c>
      <c r="H193" s="30" t="n">
        <v>1</v>
      </c>
      <c r="I193" s="31" t="s">
        <v>22</v>
      </c>
      <c r="J193" s="32" t="n">
        <v>45862</v>
      </c>
      <c r="K193" s="33"/>
      <c r="L193" s="33" t="n">
        <v>1692</v>
      </c>
      <c r="M193" s="33"/>
      <c r="N193" s="33" t="n">
        <v>1504</v>
      </c>
      <c r="O193" s="33"/>
      <c r="P193" s="33"/>
      <c r="Q193" s="33" t="n">
        <v>1730</v>
      </c>
      <c r="R193" s="33"/>
      <c r="S193" s="33"/>
      <c r="T193" s="33" t="n">
        <v>1672</v>
      </c>
      <c r="U193" s="33"/>
      <c r="V193" s="33"/>
      <c r="W193" s="33" t="n">
        <v>1140</v>
      </c>
      <c r="X193" s="33"/>
      <c r="Y193" s="33"/>
      <c r="Z193" s="33"/>
      <c r="AA193" s="34" t="n">
        <f aca="false">SUM(K193:Z193)</f>
        <v>7738</v>
      </c>
      <c r="AB193" s="35" t="n">
        <f aca="false">SUM(AA193/H193)</f>
        <v>7738</v>
      </c>
      <c r="AC193" s="36" t="n">
        <f aca="false">AB193/$AB$2</f>
        <v>515.866666666667</v>
      </c>
    </row>
    <row r="194" customFormat="false" ht="19.5" hidden="false" customHeight="true" outlineLevel="0" collapsed="false">
      <c r="A194" s="50" t="s">
        <v>83</v>
      </c>
      <c r="B194" s="38" t="s">
        <v>84</v>
      </c>
      <c r="C194" s="25" t="n">
        <v>201</v>
      </c>
      <c r="D194" s="26" t="s">
        <v>124</v>
      </c>
      <c r="E194" s="27" t="s">
        <v>32</v>
      </c>
      <c r="F194" s="28" t="s">
        <v>33</v>
      </c>
      <c r="G194" s="29" t="s">
        <v>122</v>
      </c>
      <c r="H194" s="30" t="n">
        <v>2.05</v>
      </c>
      <c r="I194" s="31" t="s">
        <v>22</v>
      </c>
      <c r="J194" s="32" t="n">
        <v>45892</v>
      </c>
      <c r="K194" s="33" t="n">
        <v>3502</v>
      </c>
      <c r="L194" s="33" t="n">
        <v>2079</v>
      </c>
      <c r="M194" s="33"/>
      <c r="N194" s="33" t="n">
        <v>481</v>
      </c>
      <c r="O194" s="33" t="n">
        <v>1930</v>
      </c>
      <c r="P194" s="33" t="n">
        <v>810</v>
      </c>
      <c r="Q194" s="33" t="n">
        <v>548</v>
      </c>
      <c r="R194" s="33" t="n">
        <v>588</v>
      </c>
      <c r="S194" s="33"/>
      <c r="T194" s="33"/>
      <c r="U194" s="33" t="n">
        <v>3364</v>
      </c>
      <c r="V194" s="33" t="n">
        <v>418</v>
      </c>
      <c r="W194" s="33" t="n">
        <v>1075</v>
      </c>
      <c r="X194" s="33" t="n">
        <v>3444</v>
      </c>
      <c r="Y194" s="33"/>
      <c r="Z194" s="33"/>
      <c r="AA194" s="34" t="n">
        <f aca="false">SUM(K194:Z194)</f>
        <v>18239</v>
      </c>
      <c r="AB194" s="35" t="n">
        <f aca="false">SUM(AA194/H194)</f>
        <v>8897.07317073171</v>
      </c>
      <c r="AC194" s="36" t="n">
        <f aca="false">AB194/$AB$2</f>
        <v>593.138211382114</v>
      </c>
    </row>
    <row r="195" customFormat="false" ht="19.5" hidden="false" customHeight="true" outlineLevel="0" collapsed="false">
      <c r="A195" s="66" t="s">
        <v>16</v>
      </c>
      <c r="B195" s="38" t="s">
        <v>17</v>
      </c>
      <c r="C195" s="25" t="n">
        <v>701</v>
      </c>
      <c r="D195" s="26" t="s">
        <v>18</v>
      </c>
      <c r="E195" s="27" t="s">
        <v>164</v>
      </c>
      <c r="F195" s="28" t="s">
        <v>87</v>
      </c>
      <c r="G195" s="29" t="n">
        <v>10</v>
      </c>
      <c r="H195" s="30" t="n">
        <v>0.8</v>
      </c>
      <c r="I195" s="31" t="s">
        <v>22</v>
      </c>
      <c r="J195" s="32" t="n">
        <v>45885</v>
      </c>
      <c r="K195" s="33" t="n">
        <v>807</v>
      </c>
      <c r="L195" s="33" t="n">
        <v>1315</v>
      </c>
      <c r="M195" s="33" t="n">
        <v>569</v>
      </c>
      <c r="N195" s="33"/>
      <c r="O195" s="33"/>
      <c r="P195" s="33"/>
      <c r="Q195" s="33"/>
      <c r="R195" s="33"/>
      <c r="S195" s="33"/>
      <c r="T195" s="33"/>
      <c r="U195" s="33"/>
      <c r="V195" s="33" t="n">
        <v>1762</v>
      </c>
      <c r="W195" s="33"/>
      <c r="X195" s="33"/>
      <c r="Y195" s="33" t="n">
        <v>624</v>
      </c>
      <c r="Z195" s="33"/>
      <c r="AA195" s="34" t="n">
        <f aca="false">SUM(K195:Z195)</f>
        <v>5077</v>
      </c>
      <c r="AB195" s="35" t="n">
        <f aca="false">SUM(AA195/H195)</f>
        <v>6346.25</v>
      </c>
      <c r="AC195" s="36" t="n">
        <f aca="false">AB195/$AB$2</f>
        <v>423.083333333333</v>
      </c>
    </row>
    <row r="196" customFormat="false" ht="19.5" hidden="false" customHeight="true" outlineLevel="0" collapsed="false">
      <c r="A196" s="37" t="s">
        <v>25</v>
      </c>
      <c r="B196" s="38" t="s">
        <v>26</v>
      </c>
      <c r="C196" s="25" t="n">
        <v>503</v>
      </c>
      <c r="D196" s="26" t="s">
        <v>27</v>
      </c>
      <c r="E196" s="27" t="s">
        <v>32</v>
      </c>
      <c r="F196" s="28" t="s">
        <v>33</v>
      </c>
      <c r="G196" s="29" t="s">
        <v>45</v>
      </c>
      <c r="H196" s="30" t="n">
        <v>1.87</v>
      </c>
      <c r="I196" s="31" t="s">
        <v>22</v>
      </c>
      <c r="J196" s="32" t="n">
        <v>45890</v>
      </c>
      <c r="K196" s="33"/>
      <c r="L196" s="33"/>
      <c r="M196" s="33"/>
      <c r="N196" s="33" t="n">
        <v>390</v>
      </c>
      <c r="O196" s="33" t="n">
        <v>218</v>
      </c>
      <c r="P196" s="33" t="n">
        <v>1596</v>
      </c>
      <c r="Q196" s="33" t="n">
        <v>692</v>
      </c>
      <c r="R196" s="33"/>
      <c r="S196" s="33" t="n">
        <v>793</v>
      </c>
      <c r="T196" s="33" t="n">
        <v>542</v>
      </c>
      <c r="U196" s="33"/>
      <c r="V196" s="33"/>
      <c r="W196" s="33"/>
      <c r="X196" s="33"/>
      <c r="Y196" s="33"/>
      <c r="Z196" s="33"/>
      <c r="AA196" s="34" t="n">
        <f aca="false">SUM(K196:Z196)</f>
        <v>4231</v>
      </c>
      <c r="AB196" s="35" t="n">
        <f aca="false">SUM(AA196/H196)</f>
        <v>2262.56684491979</v>
      </c>
      <c r="AC196" s="36" t="n">
        <f aca="false">AB196/$AB$2</f>
        <v>150.837789661319</v>
      </c>
    </row>
    <row r="197" customFormat="false" ht="19.5" hidden="false" customHeight="true" outlineLevel="0" collapsed="false">
      <c r="A197" s="50" t="s">
        <v>83</v>
      </c>
      <c r="B197" s="38" t="s">
        <v>84</v>
      </c>
      <c r="C197" s="25" t="n">
        <v>203</v>
      </c>
      <c r="D197" s="26" t="s">
        <v>141</v>
      </c>
      <c r="E197" s="27" t="s">
        <v>32</v>
      </c>
      <c r="F197" s="28" t="s">
        <v>33</v>
      </c>
      <c r="G197" s="29" t="s">
        <v>129</v>
      </c>
      <c r="H197" s="30" t="n">
        <v>1.6</v>
      </c>
      <c r="I197" s="31" t="s">
        <v>22</v>
      </c>
      <c r="J197" s="32" t="n">
        <v>45907</v>
      </c>
      <c r="K197" s="33"/>
      <c r="L197" s="33"/>
      <c r="M197" s="33"/>
      <c r="N197" s="33"/>
      <c r="O197" s="33" t="n">
        <v>4788</v>
      </c>
      <c r="P197" s="33"/>
      <c r="Q197" s="33"/>
      <c r="R197" s="33" t="n">
        <v>1378</v>
      </c>
      <c r="S197" s="33"/>
      <c r="T197" s="33"/>
      <c r="U197" s="33"/>
      <c r="V197" s="33" t="n">
        <v>5196</v>
      </c>
      <c r="W197" s="33"/>
      <c r="X197" s="33"/>
      <c r="Y197" s="33" t="n">
        <v>3694</v>
      </c>
      <c r="Z197" s="33"/>
      <c r="AA197" s="34" t="n">
        <f aca="false">SUM(K197:Z197)</f>
        <v>15056</v>
      </c>
      <c r="AB197" s="35" t="n">
        <f aca="false">SUM(AA197/H197)</f>
        <v>9410</v>
      </c>
      <c r="AC197" s="36" t="n">
        <f aca="false">AB197/$AB$2</f>
        <v>627.333333333333</v>
      </c>
    </row>
    <row r="198" customFormat="false" ht="19.5" hidden="false" customHeight="true" outlineLevel="0" collapsed="false">
      <c r="A198" s="44" t="s">
        <v>57</v>
      </c>
      <c r="B198" s="38" t="s">
        <v>17</v>
      </c>
      <c r="C198" s="25" t="n">
        <v>704</v>
      </c>
      <c r="D198" s="26" t="s">
        <v>147</v>
      </c>
      <c r="E198" s="27" t="s">
        <v>173</v>
      </c>
      <c r="F198" s="28" t="s">
        <v>87</v>
      </c>
      <c r="G198" s="29" t="n">
        <v>6</v>
      </c>
      <c r="H198" s="30" t="n">
        <v>1.5</v>
      </c>
      <c r="I198" s="31" t="s">
        <v>22</v>
      </c>
      <c r="J198" s="32" t="n">
        <v>45899</v>
      </c>
      <c r="K198" s="33"/>
      <c r="L198" s="33"/>
      <c r="M198" s="33"/>
      <c r="N198" s="33"/>
      <c r="O198" s="33"/>
      <c r="P198" s="33"/>
      <c r="Q198" s="33" t="n">
        <v>2628</v>
      </c>
      <c r="R198" s="33" t="n">
        <v>3194</v>
      </c>
      <c r="S198" s="33" t="n">
        <v>616</v>
      </c>
      <c r="T198" s="33"/>
      <c r="U198" s="33"/>
      <c r="V198" s="33"/>
      <c r="W198" s="33"/>
      <c r="X198" s="33" t="n">
        <v>3542</v>
      </c>
      <c r="Y198" s="33"/>
      <c r="Z198" s="33"/>
      <c r="AA198" s="34" t="n">
        <f aca="false">SUM(K198:Z198)</f>
        <v>9980</v>
      </c>
      <c r="AB198" s="35" t="n">
        <f aca="false">SUM(AA198/H198)</f>
        <v>6653.33333333333</v>
      </c>
      <c r="AC198" s="36" t="n">
        <f aca="false">AB198/$AB$2</f>
        <v>443.555555555556</v>
      </c>
    </row>
    <row r="199" customFormat="false" ht="19.5" hidden="false" customHeight="true" outlineLevel="0" collapsed="false">
      <c r="A199" s="46" t="s">
        <v>60</v>
      </c>
      <c r="B199" s="38" t="s">
        <v>17</v>
      </c>
      <c r="C199" s="25" t="n">
        <v>604</v>
      </c>
      <c r="D199" s="26" t="s">
        <v>163</v>
      </c>
      <c r="E199" s="27" t="s">
        <v>164</v>
      </c>
      <c r="F199" s="28" t="s">
        <v>87</v>
      </c>
      <c r="G199" s="29" t="n">
        <v>12</v>
      </c>
      <c r="H199" s="30" t="n">
        <v>1</v>
      </c>
      <c r="I199" s="31" t="s">
        <v>22</v>
      </c>
      <c r="J199" s="32" t="n">
        <v>45931</v>
      </c>
      <c r="K199" s="33"/>
      <c r="L199" s="33"/>
      <c r="M199" s="33"/>
      <c r="N199" s="33"/>
      <c r="O199" s="33" t="n">
        <v>1619</v>
      </c>
      <c r="P199" s="33"/>
      <c r="Q199" s="33" t="n">
        <v>1124</v>
      </c>
      <c r="R199" s="33" t="n">
        <v>2866</v>
      </c>
      <c r="S199" s="33"/>
      <c r="T199" s="33"/>
      <c r="U199" s="33"/>
      <c r="V199" s="33"/>
      <c r="W199" s="33"/>
      <c r="X199" s="33" t="n">
        <v>3054</v>
      </c>
      <c r="Y199" s="33" t="n">
        <v>1659</v>
      </c>
      <c r="Z199" s="33"/>
      <c r="AA199" s="34" t="n">
        <f aca="false">SUM(K199:Z199)</f>
        <v>10322</v>
      </c>
      <c r="AB199" s="35" t="n">
        <f aca="false">SUM(AA199/H199)</f>
        <v>10322</v>
      </c>
      <c r="AC199" s="36" t="n">
        <f aca="false">AB199/$AB$2</f>
        <v>688.133333333333</v>
      </c>
    </row>
    <row r="200" customFormat="false" ht="19.5" hidden="true" customHeight="true" outlineLevel="0" collapsed="false">
      <c r="A200" s="50" t="s">
        <v>83</v>
      </c>
      <c r="B200" s="38" t="s">
        <v>84</v>
      </c>
      <c r="C200" s="25" t="n">
        <v>204</v>
      </c>
      <c r="D200" s="26" t="s">
        <v>85</v>
      </c>
      <c r="E200" s="27" t="s">
        <v>131</v>
      </c>
      <c r="F200" s="28" t="s">
        <v>20</v>
      </c>
      <c r="G200" s="29" t="n">
        <v>8</v>
      </c>
      <c r="H200" s="30" t="n">
        <v>1.3</v>
      </c>
      <c r="I200" s="41" t="s">
        <v>34</v>
      </c>
      <c r="J200" s="32" t="n">
        <v>45801</v>
      </c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4" t="n">
        <f aca="false">SUM(K200:Z200)</f>
        <v>0</v>
      </c>
      <c r="AB200" s="35" t="n">
        <f aca="false">SUM(AA200/H200)</f>
        <v>0</v>
      </c>
      <c r="AC200" s="36" t="n">
        <f aca="false">AB200/$AB$2</f>
        <v>0</v>
      </c>
    </row>
    <row r="201" customFormat="false" ht="19.5" hidden="false" customHeight="true" outlineLevel="0" collapsed="false">
      <c r="A201" s="46" t="s">
        <v>60</v>
      </c>
      <c r="B201" s="38" t="s">
        <v>17</v>
      </c>
      <c r="C201" s="25" t="n">
        <v>604</v>
      </c>
      <c r="D201" s="26" t="s">
        <v>163</v>
      </c>
      <c r="E201" s="27" t="s">
        <v>184</v>
      </c>
      <c r="F201" s="28" t="s">
        <v>87</v>
      </c>
      <c r="G201" s="29" t="n">
        <v>13</v>
      </c>
      <c r="H201" s="30" t="n">
        <v>1</v>
      </c>
      <c r="I201" s="31" t="s">
        <v>22</v>
      </c>
      <c r="J201" s="32" t="n">
        <v>45899</v>
      </c>
      <c r="K201" s="33"/>
      <c r="L201" s="33"/>
      <c r="M201" s="33"/>
      <c r="N201" s="33"/>
      <c r="O201" s="33"/>
      <c r="P201" s="33"/>
      <c r="Q201" s="33"/>
      <c r="R201" s="33"/>
      <c r="S201" s="33"/>
      <c r="T201" s="33" t="n">
        <v>3529</v>
      </c>
      <c r="U201" s="33" t="n">
        <v>951</v>
      </c>
      <c r="V201" s="33"/>
      <c r="W201" s="33"/>
      <c r="X201" s="33"/>
      <c r="Y201" s="33"/>
      <c r="Z201" s="33"/>
      <c r="AA201" s="34" t="n">
        <f aca="false">SUM(K201:Z201)</f>
        <v>4480</v>
      </c>
      <c r="AB201" s="35" t="n">
        <f aca="false">SUM(AA201/H201)</f>
        <v>4480</v>
      </c>
      <c r="AC201" s="36" t="n">
        <f aca="false">AB201/$AB$2</f>
        <v>298.666666666667</v>
      </c>
    </row>
    <row r="202" customFormat="false" ht="19.5" hidden="false" customHeight="true" outlineLevel="0" collapsed="false">
      <c r="A202" s="51" t="s">
        <v>97</v>
      </c>
      <c r="B202" s="38" t="s">
        <v>66</v>
      </c>
      <c r="C202" s="25" t="n">
        <v>910</v>
      </c>
      <c r="D202" s="26" t="s">
        <v>127</v>
      </c>
      <c r="E202" s="27" t="s">
        <v>112</v>
      </c>
      <c r="F202" s="28" t="s">
        <v>33</v>
      </c>
      <c r="G202" s="29" t="s">
        <v>45</v>
      </c>
      <c r="H202" s="30" t="n">
        <v>1.9</v>
      </c>
      <c r="I202" s="69" t="s">
        <v>22</v>
      </c>
      <c r="J202" s="32" t="n">
        <v>45894</v>
      </c>
      <c r="K202" s="33" t="n">
        <v>1824</v>
      </c>
      <c r="L202" s="33"/>
      <c r="M202" s="33" t="n">
        <v>1320</v>
      </c>
      <c r="N202" s="33" t="n">
        <v>1551</v>
      </c>
      <c r="O202" s="33" t="n">
        <v>1934</v>
      </c>
      <c r="P202" s="33"/>
      <c r="Q202" s="33"/>
      <c r="R202" s="33"/>
      <c r="S202" s="33" t="n">
        <v>1751</v>
      </c>
      <c r="T202" s="33" t="n">
        <v>1560</v>
      </c>
      <c r="U202" s="33" t="n">
        <v>2360</v>
      </c>
      <c r="V202" s="33"/>
      <c r="W202" s="33" t="n">
        <v>910</v>
      </c>
      <c r="X202" s="33" t="n">
        <v>1991</v>
      </c>
      <c r="Y202" s="33" t="n">
        <v>2087</v>
      </c>
      <c r="Z202" s="33"/>
      <c r="AA202" s="34" t="n">
        <f aca="false">SUM(K202:Z202)</f>
        <v>17288</v>
      </c>
      <c r="AB202" s="35" t="n">
        <f aca="false">SUM(AA202/H202)</f>
        <v>9098.94736842105</v>
      </c>
      <c r="AC202" s="36" t="n">
        <f aca="false">AB202/$AB$2</f>
        <v>606.59649122807</v>
      </c>
    </row>
    <row r="203" customFormat="false" ht="19.5" hidden="false" customHeight="true" outlineLevel="0" collapsed="false">
      <c r="A203" s="51" t="s">
        <v>97</v>
      </c>
      <c r="B203" s="38" t="s">
        <v>66</v>
      </c>
      <c r="C203" s="25" t="n">
        <v>910</v>
      </c>
      <c r="D203" s="26" t="s">
        <v>127</v>
      </c>
      <c r="E203" s="27" t="s">
        <v>109</v>
      </c>
      <c r="F203" s="28" t="s">
        <v>20</v>
      </c>
      <c r="G203" s="29" t="s">
        <v>76</v>
      </c>
      <c r="H203" s="30" t="n">
        <v>2.1</v>
      </c>
      <c r="I203" s="31" t="s">
        <v>22</v>
      </c>
      <c r="J203" s="32" t="n">
        <v>45907</v>
      </c>
      <c r="K203" s="33"/>
      <c r="L203" s="33"/>
      <c r="M203" s="33" t="n">
        <v>3117</v>
      </c>
      <c r="N203" s="33"/>
      <c r="O203" s="33" t="n">
        <v>1522</v>
      </c>
      <c r="P203" s="33"/>
      <c r="Q203" s="33"/>
      <c r="R203" s="33" t="n">
        <v>2255</v>
      </c>
      <c r="S203" s="33"/>
      <c r="T203" s="33"/>
      <c r="U203" s="33" t="n">
        <v>1338</v>
      </c>
      <c r="V203" s="33" t="n">
        <v>830</v>
      </c>
      <c r="W203" s="33"/>
      <c r="X203" s="33" t="n">
        <v>1355</v>
      </c>
      <c r="Y203" s="33" t="n">
        <v>1233</v>
      </c>
      <c r="Z203" s="33"/>
      <c r="AA203" s="34" t="n">
        <f aca="false">SUM(K203:Z203)</f>
        <v>11650</v>
      </c>
      <c r="AB203" s="35" t="n">
        <f aca="false">SUM(AA203/H203)</f>
        <v>5547.61904761905</v>
      </c>
      <c r="AC203" s="36" t="n">
        <f aca="false">AB203/$AB$2</f>
        <v>369.84126984127</v>
      </c>
    </row>
    <row r="204" customFormat="false" ht="19.5" hidden="false" customHeight="true" outlineLevel="0" collapsed="false">
      <c r="A204" s="68" t="s">
        <v>155</v>
      </c>
      <c r="B204" s="38" t="s">
        <v>103</v>
      </c>
      <c r="C204" s="25" t="n">
        <v>1012</v>
      </c>
      <c r="D204" s="26" t="s">
        <v>156</v>
      </c>
      <c r="E204" s="27" t="s">
        <v>185</v>
      </c>
      <c r="F204" s="28" t="s">
        <v>49</v>
      </c>
      <c r="G204" s="29" t="s">
        <v>120</v>
      </c>
      <c r="H204" s="30" t="n">
        <v>2.71</v>
      </c>
      <c r="I204" s="69" t="s">
        <v>22</v>
      </c>
      <c r="J204" s="32" t="n">
        <v>45904</v>
      </c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 t="n">
        <v>199</v>
      </c>
      <c r="Z204" s="33"/>
      <c r="AA204" s="34" t="n">
        <f aca="false">SUM(K204:Z204)</f>
        <v>199</v>
      </c>
      <c r="AB204" s="35" t="n">
        <f aca="false">SUM(AA204/H204)</f>
        <v>73.4317343173432</v>
      </c>
      <c r="AC204" s="36" t="n">
        <f aca="false">AB204/$AB$2</f>
        <v>4.89544895448954</v>
      </c>
    </row>
    <row r="205" customFormat="false" ht="19.5" hidden="false" customHeight="true" outlineLevel="0" collapsed="false">
      <c r="A205" s="39" t="s">
        <v>29</v>
      </c>
      <c r="B205" s="38" t="s">
        <v>30</v>
      </c>
      <c r="C205" s="25" t="n">
        <v>501</v>
      </c>
      <c r="D205" s="26" t="s">
        <v>118</v>
      </c>
      <c r="E205" s="27" t="s">
        <v>186</v>
      </c>
      <c r="F205" s="28" t="s">
        <v>20</v>
      </c>
      <c r="G205" s="29" t="n">
        <v>12</v>
      </c>
      <c r="H205" s="30" t="n">
        <v>0.65</v>
      </c>
      <c r="I205" s="31" t="s">
        <v>22</v>
      </c>
      <c r="J205" s="32" t="n">
        <v>45881</v>
      </c>
      <c r="K205" s="33"/>
      <c r="L205" s="33"/>
      <c r="M205" s="33"/>
      <c r="N205" s="33" t="n">
        <v>1388</v>
      </c>
      <c r="O205" s="33"/>
      <c r="P205" s="33"/>
      <c r="Q205" s="33"/>
      <c r="R205" s="33"/>
      <c r="S205" s="33"/>
      <c r="T205" s="33"/>
      <c r="U205" s="33"/>
      <c r="V205" s="33" t="n">
        <v>839</v>
      </c>
      <c r="W205" s="33"/>
      <c r="X205" s="33"/>
      <c r="Y205" s="33"/>
      <c r="Z205" s="33"/>
      <c r="AA205" s="34" t="n">
        <f aca="false">SUM(K205:Z205)</f>
        <v>2227</v>
      </c>
      <c r="AB205" s="35" t="n">
        <f aca="false">SUM(AA205/H205)</f>
        <v>3426.15384615385</v>
      </c>
      <c r="AC205" s="36" t="n">
        <f aca="false">AB205/$AB$2</f>
        <v>228.410256410256</v>
      </c>
    </row>
    <row r="206" customFormat="false" ht="19.5" hidden="false" customHeight="true" outlineLevel="0" collapsed="false">
      <c r="A206" s="24" t="s">
        <v>42</v>
      </c>
      <c r="B206" s="38" t="s">
        <v>43</v>
      </c>
      <c r="C206" s="25" t="n">
        <v>104</v>
      </c>
      <c r="D206" s="26" t="s">
        <v>95</v>
      </c>
      <c r="E206" s="27" t="s">
        <v>32</v>
      </c>
      <c r="F206" s="28" t="s">
        <v>33</v>
      </c>
      <c r="G206" s="29" t="s">
        <v>165</v>
      </c>
      <c r="H206" s="30" t="n">
        <v>2.52</v>
      </c>
      <c r="I206" s="31" t="s">
        <v>22</v>
      </c>
      <c r="J206" s="32" t="n">
        <v>45928</v>
      </c>
      <c r="K206" s="33"/>
      <c r="L206" s="33" t="n">
        <v>3305</v>
      </c>
      <c r="M206" s="33"/>
      <c r="N206" s="33" t="n">
        <v>3392</v>
      </c>
      <c r="O206" s="33"/>
      <c r="P206" s="33"/>
      <c r="Q206" s="33"/>
      <c r="R206" s="33" t="n">
        <v>4978</v>
      </c>
      <c r="S206" s="33" t="n">
        <v>1863</v>
      </c>
      <c r="T206" s="33"/>
      <c r="U206" s="33"/>
      <c r="V206" s="33"/>
      <c r="W206" s="33" t="n">
        <v>1163</v>
      </c>
      <c r="X206" s="33"/>
      <c r="Y206" s="33" t="n">
        <v>7579</v>
      </c>
      <c r="Z206" s="33"/>
      <c r="AA206" s="34" t="n">
        <f aca="false">SUM(K206:Z206)</f>
        <v>22280</v>
      </c>
      <c r="AB206" s="35" t="n">
        <f aca="false">SUM(AA206/H206)</f>
        <v>8841.26984126984</v>
      </c>
      <c r="AC206" s="36" t="n">
        <f aca="false">AB206/$AB$2</f>
        <v>589.417989417989</v>
      </c>
    </row>
    <row r="207" customFormat="false" ht="19.5" hidden="false" customHeight="true" outlineLevel="0" collapsed="false">
      <c r="A207" s="51" t="s">
        <v>97</v>
      </c>
      <c r="B207" s="38" t="s">
        <v>66</v>
      </c>
      <c r="C207" s="25" t="n">
        <v>901</v>
      </c>
      <c r="D207" s="26" t="s">
        <v>98</v>
      </c>
      <c r="E207" s="27" t="s">
        <v>161</v>
      </c>
      <c r="F207" s="28" t="s">
        <v>87</v>
      </c>
      <c r="G207" s="29" t="n">
        <v>14</v>
      </c>
      <c r="H207" s="30" t="n">
        <v>1</v>
      </c>
      <c r="I207" s="31" t="s">
        <v>22</v>
      </c>
      <c r="J207" s="32" t="n">
        <v>45917</v>
      </c>
      <c r="K207" s="33"/>
      <c r="L207" s="33" t="n">
        <v>1774</v>
      </c>
      <c r="M207" s="33" t="n">
        <v>2962</v>
      </c>
      <c r="N207" s="33" t="n">
        <v>1260</v>
      </c>
      <c r="O207" s="33"/>
      <c r="P207" s="33"/>
      <c r="Q207" s="33"/>
      <c r="R207" s="33" t="n">
        <v>3945</v>
      </c>
      <c r="S207" s="33" t="n">
        <v>2432</v>
      </c>
      <c r="T207" s="33"/>
      <c r="U207" s="33"/>
      <c r="V207" s="33"/>
      <c r="W207" s="33"/>
      <c r="X207" s="33" t="n">
        <v>2271</v>
      </c>
      <c r="Y207" s="33" t="n">
        <v>2794</v>
      </c>
      <c r="Z207" s="33"/>
      <c r="AA207" s="34" t="n">
        <f aca="false">SUM(K207:Z207)</f>
        <v>17438</v>
      </c>
      <c r="AB207" s="35" t="n">
        <f aca="false">SUM(AA207/H207)</f>
        <v>17438</v>
      </c>
      <c r="AC207" s="36" t="n">
        <f aca="false">AB207/$AB$2</f>
        <v>1162.53333333333</v>
      </c>
    </row>
    <row r="208" customFormat="false" ht="19.5" hidden="false" customHeight="true" outlineLevel="0" collapsed="false">
      <c r="A208" s="23" t="s">
        <v>16</v>
      </c>
      <c r="B208" s="38" t="s">
        <v>17</v>
      </c>
      <c r="C208" s="25" t="n">
        <v>701</v>
      </c>
      <c r="D208" s="26" t="s">
        <v>18</v>
      </c>
      <c r="E208" s="27" t="s">
        <v>173</v>
      </c>
      <c r="F208" s="28" t="s">
        <v>87</v>
      </c>
      <c r="G208" s="29" t="s">
        <v>111</v>
      </c>
      <c r="H208" s="30" t="n">
        <v>2.71</v>
      </c>
      <c r="I208" s="31" t="s">
        <v>22</v>
      </c>
      <c r="J208" s="32" t="n">
        <v>45925</v>
      </c>
      <c r="K208" s="33" t="n">
        <v>972</v>
      </c>
      <c r="L208" s="33"/>
      <c r="M208" s="33"/>
      <c r="N208" s="33"/>
      <c r="O208" s="33"/>
      <c r="P208" s="33"/>
      <c r="Q208" s="33"/>
      <c r="R208" s="33"/>
      <c r="S208" s="33"/>
      <c r="T208" s="33"/>
      <c r="U208" s="33" t="n">
        <v>1993</v>
      </c>
      <c r="V208" s="33"/>
      <c r="W208" s="33"/>
      <c r="X208" s="33"/>
      <c r="Y208" s="33"/>
      <c r="Z208" s="33"/>
      <c r="AA208" s="34" t="n">
        <f aca="false">SUM(K208:Z208)</f>
        <v>2965</v>
      </c>
      <c r="AB208" s="35" t="n">
        <f aca="false">SUM(AA208/H208)</f>
        <v>1094.09594095941</v>
      </c>
      <c r="AC208" s="36" t="n">
        <f aca="false">AB208/$AB$2</f>
        <v>72.939729397294</v>
      </c>
    </row>
    <row r="209" customFormat="false" ht="19.5" hidden="false" customHeight="true" outlineLevel="0" collapsed="false">
      <c r="A209" s="65" t="s">
        <v>132</v>
      </c>
      <c r="B209" s="38" t="s">
        <v>17</v>
      </c>
      <c r="C209" s="25" t="n">
        <v>801</v>
      </c>
      <c r="D209" s="26" t="s">
        <v>133</v>
      </c>
      <c r="E209" s="27" t="s">
        <v>48</v>
      </c>
      <c r="F209" s="28" t="s">
        <v>49</v>
      </c>
      <c r="G209" s="29" t="s">
        <v>187</v>
      </c>
      <c r="H209" s="30" t="n">
        <v>1.86</v>
      </c>
      <c r="I209" s="31" t="s">
        <v>22</v>
      </c>
      <c r="J209" s="32" t="n">
        <v>45905</v>
      </c>
      <c r="K209" s="33"/>
      <c r="L209" s="33"/>
      <c r="M209" s="33" t="n">
        <v>3040</v>
      </c>
      <c r="N209" s="33" t="n">
        <v>163</v>
      </c>
      <c r="O209" s="33"/>
      <c r="P209" s="33" t="n">
        <v>3369</v>
      </c>
      <c r="Q209" s="33"/>
      <c r="R209" s="33"/>
      <c r="S209" s="33"/>
      <c r="T209" s="33" t="n">
        <v>4489</v>
      </c>
      <c r="U209" s="33"/>
      <c r="V209" s="33"/>
      <c r="W209" s="33" t="n">
        <v>992</v>
      </c>
      <c r="X209" s="33" t="n">
        <v>3546</v>
      </c>
      <c r="Y209" s="33"/>
      <c r="Z209" s="33"/>
      <c r="AA209" s="34" t="n">
        <f aca="false">SUM(K209:Z209)</f>
        <v>15599</v>
      </c>
      <c r="AB209" s="35" t="n">
        <f aca="false">SUM(AA209/H209)</f>
        <v>8386.55913978495</v>
      </c>
      <c r="AC209" s="36" t="n">
        <f aca="false">AB209/$AB$2</f>
        <v>559.10394265233</v>
      </c>
    </row>
    <row r="210" customFormat="false" ht="19.5" hidden="false" customHeight="true" outlineLevel="0" collapsed="false">
      <c r="A210" s="42" t="s">
        <v>46</v>
      </c>
      <c r="B210" s="38" t="s">
        <v>30</v>
      </c>
      <c r="C210" s="25" t="n">
        <v>303</v>
      </c>
      <c r="D210" s="26" t="s">
        <v>47</v>
      </c>
      <c r="E210" s="27" t="s">
        <v>19</v>
      </c>
      <c r="F210" s="28" t="s">
        <v>20</v>
      </c>
      <c r="G210" s="29" t="n">
        <v>3</v>
      </c>
      <c r="H210" s="30" t="n">
        <v>1</v>
      </c>
      <c r="I210" s="31" t="s">
        <v>22</v>
      </c>
      <c r="J210" s="32" t="n">
        <v>45908</v>
      </c>
      <c r="K210" s="33"/>
      <c r="L210" s="33" t="n">
        <v>2567</v>
      </c>
      <c r="M210" s="33"/>
      <c r="N210" s="33"/>
      <c r="O210" s="33" t="n">
        <v>1099</v>
      </c>
      <c r="P210" s="33"/>
      <c r="Q210" s="33"/>
      <c r="R210" s="33"/>
      <c r="S210" s="33"/>
      <c r="T210" s="33" t="n">
        <v>2291</v>
      </c>
      <c r="U210" s="33"/>
      <c r="V210" s="33"/>
      <c r="W210" s="33"/>
      <c r="X210" s="33" t="n">
        <v>3349</v>
      </c>
      <c r="Y210" s="33"/>
      <c r="Z210" s="33"/>
      <c r="AA210" s="34" t="n">
        <f aca="false">SUM(K210:Z210)</f>
        <v>9306</v>
      </c>
      <c r="AB210" s="35" t="n">
        <f aca="false">SUM(AA210/H210)</f>
        <v>9306</v>
      </c>
      <c r="AC210" s="36" t="n">
        <f aca="false">AB210/$AB$2</f>
        <v>620.4</v>
      </c>
    </row>
    <row r="211" customFormat="false" ht="19.5" hidden="false" customHeight="true" outlineLevel="0" collapsed="false">
      <c r="A211" s="46" t="s">
        <v>60</v>
      </c>
      <c r="B211" s="38" t="s">
        <v>17</v>
      </c>
      <c r="C211" s="25" t="n">
        <v>604</v>
      </c>
      <c r="D211" s="26" t="s">
        <v>163</v>
      </c>
      <c r="E211" s="27" t="s">
        <v>100</v>
      </c>
      <c r="F211" s="28" t="s">
        <v>87</v>
      </c>
      <c r="G211" s="29" t="n">
        <v>16</v>
      </c>
      <c r="H211" s="30" t="n">
        <v>1</v>
      </c>
      <c r="I211" s="31" t="s">
        <v>22</v>
      </c>
      <c r="J211" s="32" t="n">
        <v>45910</v>
      </c>
      <c r="K211" s="33" t="n">
        <v>2978</v>
      </c>
      <c r="L211" s="33"/>
      <c r="M211" s="33"/>
      <c r="N211" s="33"/>
      <c r="O211" s="33" t="n">
        <v>1114</v>
      </c>
      <c r="P211" s="33"/>
      <c r="Q211" s="33" t="n">
        <v>2269</v>
      </c>
      <c r="R211" s="33"/>
      <c r="S211" s="33" t="n">
        <v>1050</v>
      </c>
      <c r="T211" s="33"/>
      <c r="U211" s="33"/>
      <c r="V211" s="33"/>
      <c r="W211" s="33"/>
      <c r="X211" s="33" t="n">
        <v>221</v>
      </c>
      <c r="Y211" s="33" t="n">
        <v>2168</v>
      </c>
      <c r="Z211" s="33"/>
      <c r="AA211" s="34" t="n">
        <f aca="false">SUM(K211:Z211)</f>
        <v>9800</v>
      </c>
      <c r="AB211" s="35" t="n">
        <f aca="false">SUM(AA211/H211)</f>
        <v>9800</v>
      </c>
      <c r="AC211" s="36" t="n">
        <f aca="false">AB211/$AB$2</f>
        <v>653.333333333333</v>
      </c>
    </row>
    <row r="212" customFormat="false" ht="19.5" hidden="false" customHeight="true" outlineLevel="0" collapsed="false">
      <c r="A212" s="24" t="s">
        <v>42</v>
      </c>
      <c r="B212" s="38" t="s">
        <v>43</v>
      </c>
      <c r="C212" s="25" t="n">
        <v>104</v>
      </c>
      <c r="D212" s="26" t="s">
        <v>95</v>
      </c>
      <c r="E212" s="27" t="s">
        <v>23</v>
      </c>
      <c r="F212" s="28" t="s">
        <v>20</v>
      </c>
      <c r="G212" s="29" t="s">
        <v>39</v>
      </c>
      <c r="H212" s="30" t="n">
        <v>2.24</v>
      </c>
      <c r="I212" s="31" t="s">
        <v>22</v>
      </c>
      <c r="J212" s="32" t="n">
        <v>45915</v>
      </c>
      <c r="K212" s="33" t="n">
        <v>2152</v>
      </c>
      <c r="L212" s="33"/>
      <c r="M212" s="33"/>
      <c r="N212" s="33"/>
      <c r="O212" s="33" t="n">
        <v>3030</v>
      </c>
      <c r="P212" s="33" t="n">
        <v>1179</v>
      </c>
      <c r="Q212" s="33"/>
      <c r="R212" s="33"/>
      <c r="S212" s="33"/>
      <c r="T212" s="33" t="n">
        <v>3472</v>
      </c>
      <c r="U212" s="33"/>
      <c r="V212" s="33"/>
      <c r="W212" s="33"/>
      <c r="X212" s="33" t="n">
        <v>4657</v>
      </c>
      <c r="Y212" s="33"/>
      <c r="Z212" s="33"/>
      <c r="AA212" s="34" t="n">
        <f aca="false">SUM(K212:Z212)</f>
        <v>14490</v>
      </c>
      <c r="AB212" s="35" t="n">
        <f aca="false">SUM(AA212/H212)</f>
        <v>6468.75</v>
      </c>
      <c r="AC212" s="36" t="n">
        <f aca="false">AB212/$AB$2</f>
        <v>431.25</v>
      </c>
    </row>
    <row r="213" customFormat="false" ht="19.5" hidden="false" customHeight="true" outlineLevel="0" collapsed="false">
      <c r="A213" s="24" t="s">
        <v>42</v>
      </c>
      <c r="B213" s="38" t="s">
        <v>43</v>
      </c>
      <c r="C213" s="25" t="n">
        <v>103</v>
      </c>
      <c r="D213" s="26" t="s">
        <v>125</v>
      </c>
      <c r="E213" s="27" t="s">
        <v>188</v>
      </c>
      <c r="F213" s="28" t="s">
        <v>87</v>
      </c>
      <c r="G213" s="29" t="n">
        <v>10</v>
      </c>
      <c r="H213" s="30" t="n">
        <v>1</v>
      </c>
      <c r="I213" s="31" t="s">
        <v>22</v>
      </c>
      <c r="J213" s="32" t="n">
        <v>45892</v>
      </c>
      <c r="K213" s="33" t="n">
        <v>1859</v>
      </c>
      <c r="L213" s="33"/>
      <c r="M213" s="33"/>
      <c r="N213" s="33"/>
      <c r="O213" s="33"/>
      <c r="P213" s="33"/>
      <c r="Q213" s="33"/>
      <c r="R213" s="33" t="n">
        <v>2083</v>
      </c>
      <c r="S213" s="33"/>
      <c r="T213" s="33"/>
      <c r="U213" s="33"/>
      <c r="V213" s="33"/>
      <c r="W213" s="33"/>
      <c r="X213" s="33" t="n">
        <v>2081</v>
      </c>
      <c r="Y213" s="33"/>
      <c r="Z213" s="33"/>
      <c r="AA213" s="34" t="n">
        <f aca="false">SUM(K213:Z213)</f>
        <v>6023</v>
      </c>
      <c r="AB213" s="35" t="n">
        <f aca="false">SUM(AA213/H213)</f>
        <v>6023</v>
      </c>
      <c r="AC213" s="36" t="n">
        <f aca="false">AB213/$AB$2</f>
        <v>401.533333333333</v>
      </c>
    </row>
    <row r="214" customFormat="false" ht="19.5" hidden="false" customHeight="true" outlineLevel="0" collapsed="false">
      <c r="A214" s="65" t="s">
        <v>132</v>
      </c>
      <c r="B214" s="38" t="s">
        <v>17</v>
      </c>
      <c r="C214" s="25" t="n">
        <v>801</v>
      </c>
      <c r="D214" s="26" t="s">
        <v>133</v>
      </c>
      <c r="E214" s="27" t="s">
        <v>32</v>
      </c>
      <c r="F214" s="28" t="s">
        <v>33</v>
      </c>
      <c r="G214" s="29" t="s">
        <v>189</v>
      </c>
      <c r="H214" s="30" t="n">
        <v>1.86</v>
      </c>
      <c r="I214" s="31" t="s">
        <v>22</v>
      </c>
      <c r="J214" s="32" t="n">
        <v>45936</v>
      </c>
      <c r="K214" s="33" t="n">
        <v>1856</v>
      </c>
      <c r="L214" s="33" t="n">
        <v>4302</v>
      </c>
      <c r="M214" s="33"/>
      <c r="N214" s="33"/>
      <c r="O214" s="33" t="n">
        <v>2695</v>
      </c>
      <c r="P214" s="33" t="n">
        <v>1138</v>
      </c>
      <c r="Q214" s="33"/>
      <c r="R214" s="33"/>
      <c r="S214" s="33"/>
      <c r="T214" s="33" t="n">
        <v>2671</v>
      </c>
      <c r="U214" s="33" t="n">
        <v>1227</v>
      </c>
      <c r="V214" s="33" t="n">
        <v>466</v>
      </c>
      <c r="W214" s="33" t="n">
        <v>594</v>
      </c>
      <c r="X214" s="33" t="n">
        <v>2426</v>
      </c>
      <c r="Y214" s="33"/>
      <c r="Z214" s="33"/>
      <c r="AA214" s="34" t="n">
        <f aca="false">SUM(K214:Z214)</f>
        <v>17375</v>
      </c>
      <c r="AB214" s="35" t="n">
        <f aca="false">SUM(AA214/H214)</f>
        <v>9341.39784946236</v>
      </c>
      <c r="AC214" s="36" t="n">
        <f aca="false">AB214/$AB$2</f>
        <v>622.759856630824</v>
      </c>
    </row>
    <row r="215" customFormat="false" ht="19.5" hidden="false" customHeight="true" outlineLevel="0" collapsed="false">
      <c r="A215" s="46" t="s">
        <v>60</v>
      </c>
      <c r="B215" s="38" t="s">
        <v>17</v>
      </c>
      <c r="C215" s="25" t="n">
        <v>703</v>
      </c>
      <c r="D215" s="26" t="s">
        <v>149</v>
      </c>
      <c r="E215" s="27" t="s">
        <v>19</v>
      </c>
      <c r="F215" s="28" t="s">
        <v>20</v>
      </c>
      <c r="G215" s="29" t="s">
        <v>81</v>
      </c>
      <c r="H215" s="30" t="n">
        <v>3</v>
      </c>
      <c r="I215" s="31" t="s">
        <v>22</v>
      </c>
      <c r="J215" s="32" t="n">
        <v>45916</v>
      </c>
      <c r="K215" s="33" t="n">
        <v>1050</v>
      </c>
      <c r="L215" s="33" t="n">
        <v>2159</v>
      </c>
      <c r="M215" s="33" t="n">
        <v>2252</v>
      </c>
      <c r="N215" s="33"/>
      <c r="O215" s="33" t="n">
        <v>2517</v>
      </c>
      <c r="P215" s="33"/>
      <c r="Q215" s="33" t="n">
        <v>1924</v>
      </c>
      <c r="R215" s="33" t="n">
        <v>651</v>
      </c>
      <c r="S215" s="33" t="n">
        <v>858</v>
      </c>
      <c r="T215" s="33"/>
      <c r="U215" s="33" t="n">
        <v>1310</v>
      </c>
      <c r="V215" s="33" t="n">
        <v>2673</v>
      </c>
      <c r="W215" s="33" t="n">
        <v>2687</v>
      </c>
      <c r="X215" s="33" t="n">
        <v>1531</v>
      </c>
      <c r="Y215" s="33"/>
      <c r="Z215" s="33"/>
      <c r="AA215" s="34" t="n">
        <f aca="false">SUM(K215:Z215)</f>
        <v>19612</v>
      </c>
      <c r="AB215" s="35" t="n">
        <f aca="false">SUM(AA215/H215)</f>
        <v>6537.33333333333</v>
      </c>
      <c r="AC215" s="36" t="n">
        <f aca="false">AB215/$AB$2</f>
        <v>435.822222222222</v>
      </c>
    </row>
    <row r="216" customFormat="false" ht="19.5" hidden="true" customHeight="true" outlineLevel="0" collapsed="false">
      <c r="A216" s="46" t="s">
        <v>60</v>
      </c>
      <c r="B216" s="38" t="s">
        <v>17</v>
      </c>
      <c r="C216" s="25" t="n">
        <v>802</v>
      </c>
      <c r="D216" s="26" t="s">
        <v>61</v>
      </c>
      <c r="E216" s="27" t="s">
        <v>32</v>
      </c>
      <c r="F216" s="28" t="s">
        <v>33</v>
      </c>
      <c r="G216" s="29" t="n">
        <v>0</v>
      </c>
      <c r="H216" s="30" t="n">
        <v>0.8</v>
      </c>
      <c r="I216" s="31" t="s">
        <v>22</v>
      </c>
      <c r="J216" s="32" t="n">
        <v>45909</v>
      </c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4" t="n">
        <f aca="false">SUM(K216:Z216)</f>
        <v>0</v>
      </c>
      <c r="AB216" s="35" t="n">
        <f aca="false">SUM(AA216/H216)</f>
        <v>0</v>
      </c>
      <c r="AC216" s="36" t="n">
        <f aca="false">AB216/$AB$2</f>
        <v>0</v>
      </c>
    </row>
    <row r="217" customFormat="false" ht="19.5" hidden="false" customHeight="true" outlineLevel="0" collapsed="false">
      <c r="A217" s="53" t="s">
        <v>106</v>
      </c>
      <c r="B217" s="38" t="s">
        <v>78</v>
      </c>
      <c r="C217" s="25" t="n">
        <v>902</v>
      </c>
      <c r="D217" s="26" t="s">
        <v>107</v>
      </c>
      <c r="E217" s="27" t="s">
        <v>48</v>
      </c>
      <c r="F217" s="28" t="s">
        <v>49</v>
      </c>
      <c r="G217" s="29" t="s">
        <v>39</v>
      </c>
      <c r="H217" s="30" t="n">
        <v>2.5</v>
      </c>
      <c r="I217" s="31" t="s">
        <v>22</v>
      </c>
      <c r="J217" s="32" t="n">
        <v>45948</v>
      </c>
      <c r="K217" s="33" t="n">
        <v>12726</v>
      </c>
      <c r="L217" s="33"/>
      <c r="M217" s="33" t="n">
        <v>5302</v>
      </c>
      <c r="N217" s="33"/>
      <c r="O217" s="33"/>
      <c r="P217" s="33" t="n">
        <v>7762</v>
      </c>
      <c r="Q217" s="33"/>
      <c r="R217" s="33"/>
      <c r="S217" s="33" t="n">
        <v>7803</v>
      </c>
      <c r="T217" s="33"/>
      <c r="U217" s="33"/>
      <c r="V217" s="33"/>
      <c r="W217" s="33" t="n">
        <v>9998</v>
      </c>
      <c r="X217" s="33"/>
      <c r="Y217" s="33"/>
      <c r="Z217" s="33"/>
      <c r="AA217" s="34" t="n">
        <f aca="false">SUM(K217:Z217)</f>
        <v>43591</v>
      </c>
      <c r="AB217" s="35" t="n">
        <f aca="false">SUM(AA217/H217)</f>
        <v>17436.4</v>
      </c>
      <c r="AC217" s="36" t="n">
        <f aca="false">AB217/$AB$2</f>
        <v>1162.42666666667</v>
      </c>
    </row>
    <row r="218" customFormat="false" ht="19.5" hidden="false" customHeight="true" outlineLevel="0" collapsed="false">
      <c r="A218" s="53" t="s">
        <v>106</v>
      </c>
      <c r="B218" s="38" t="s">
        <v>78</v>
      </c>
      <c r="C218" s="25" t="n">
        <v>902</v>
      </c>
      <c r="D218" s="26" t="s">
        <v>107</v>
      </c>
      <c r="E218" s="27" t="s">
        <v>112</v>
      </c>
      <c r="F218" s="28" t="s">
        <v>33</v>
      </c>
      <c r="G218" s="29" t="n">
        <v>1</v>
      </c>
      <c r="H218" s="30" t="n">
        <v>1</v>
      </c>
      <c r="I218" s="31" t="s">
        <v>22</v>
      </c>
      <c r="J218" s="32" t="n">
        <v>45953</v>
      </c>
      <c r="K218" s="33"/>
      <c r="L218" s="33"/>
      <c r="M218" s="33"/>
      <c r="N218" s="33"/>
      <c r="O218" s="33"/>
      <c r="P218" s="33" t="n">
        <v>5176</v>
      </c>
      <c r="Q218" s="33"/>
      <c r="R218" s="33"/>
      <c r="S218" s="33"/>
      <c r="T218" s="33"/>
      <c r="U218" s="33"/>
      <c r="V218" s="33"/>
      <c r="W218" s="33" t="n">
        <v>5348</v>
      </c>
      <c r="X218" s="33"/>
      <c r="Y218" s="33"/>
      <c r="Z218" s="33"/>
      <c r="AA218" s="34" t="n">
        <f aca="false">SUM(K218:Z218)</f>
        <v>10524</v>
      </c>
      <c r="AB218" s="35" t="n">
        <f aca="false">SUM(AA218/H218)</f>
        <v>10524</v>
      </c>
      <c r="AC218" s="36" t="n">
        <f aca="false">AB218/$AB$2</f>
        <v>701.6</v>
      </c>
    </row>
    <row r="219" customFormat="false" ht="19.5" hidden="true" customHeight="true" outlineLevel="0" collapsed="false">
      <c r="A219" s="50" t="s">
        <v>83</v>
      </c>
      <c r="B219" s="38" t="s">
        <v>84</v>
      </c>
      <c r="C219" s="25" t="n">
        <v>203</v>
      </c>
      <c r="D219" s="26" t="s">
        <v>141</v>
      </c>
      <c r="E219" s="27" t="s">
        <v>80</v>
      </c>
      <c r="F219" s="28" t="s">
        <v>20</v>
      </c>
      <c r="G219" s="29" t="s">
        <v>176</v>
      </c>
      <c r="H219" s="30" t="n">
        <v>2.3</v>
      </c>
      <c r="I219" s="41" t="s">
        <v>34</v>
      </c>
      <c r="J219" s="32" t="n">
        <v>45800</v>
      </c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4" t="n">
        <f aca="false">SUM(K219:Z219)</f>
        <v>0</v>
      </c>
      <c r="AB219" s="35" t="n">
        <f aca="false">SUM(AA219/H219)</f>
        <v>0</v>
      </c>
      <c r="AC219" s="36" t="n">
        <f aca="false">AB219/$AB$2</f>
        <v>0</v>
      </c>
    </row>
    <row r="220" customFormat="false" ht="19.5" hidden="true" customHeight="true" outlineLevel="0" collapsed="false">
      <c r="A220" s="50" t="s">
        <v>83</v>
      </c>
      <c r="B220" s="38" t="s">
        <v>84</v>
      </c>
      <c r="C220" s="25" t="n">
        <v>203</v>
      </c>
      <c r="D220" s="26" t="s">
        <v>141</v>
      </c>
      <c r="E220" s="27" t="s">
        <v>93</v>
      </c>
      <c r="F220" s="28" t="s">
        <v>20</v>
      </c>
      <c r="G220" s="29" t="n">
        <v>1</v>
      </c>
      <c r="H220" s="30" t="n">
        <v>0.9</v>
      </c>
      <c r="I220" s="41" t="s">
        <v>34</v>
      </c>
      <c r="J220" s="32" t="n">
        <v>45710</v>
      </c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4" t="n">
        <f aca="false">SUM(K220:Z220)</f>
        <v>0</v>
      </c>
      <c r="AB220" s="35" t="n">
        <f aca="false">SUM(AA220/H220)</f>
        <v>0</v>
      </c>
      <c r="AC220" s="36" t="n">
        <f aca="false">AB220/$AB$2</f>
        <v>0</v>
      </c>
    </row>
    <row r="221" customFormat="false" ht="19.5" hidden="true" customHeight="true" outlineLevel="0" collapsed="false">
      <c r="A221" s="50" t="s">
        <v>83</v>
      </c>
      <c r="B221" s="38" t="s">
        <v>84</v>
      </c>
      <c r="C221" s="25" t="n">
        <v>203</v>
      </c>
      <c r="D221" s="26" t="s">
        <v>141</v>
      </c>
      <c r="E221" s="27" t="s">
        <v>131</v>
      </c>
      <c r="F221" s="28" t="s">
        <v>20</v>
      </c>
      <c r="G221" s="29" t="n">
        <v>20</v>
      </c>
      <c r="H221" s="30" t="n">
        <v>1.06</v>
      </c>
      <c r="I221" s="41" t="s">
        <v>34</v>
      </c>
      <c r="J221" s="32" t="n">
        <v>45717</v>
      </c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4" t="n">
        <f aca="false">SUM(K221:Z221)</f>
        <v>0</v>
      </c>
      <c r="AB221" s="35" t="n">
        <f aca="false">SUM(AA221/H221)</f>
        <v>0</v>
      </c>
      <c r="AC221" s="36" t="n">
        <f aca="false">AB221/$AB$2</f>
        <v>0</v>
      </c>
    </row>
    <row r="222" customFormat="false" ht="19.5" hidden="false" customHeight="true" outlineLevel="0" collapsed="false">
      <c r="A222" s="47" t="s">
        <v>65</v>
      </c>
      <c r="B222" s="38" t="s">
        <v>66</v>
      </c>
      <c r="C222" s="25" t="n">
        <v>903</v>
      </c>
      <c r="D222" s="26" t="s">
        <v>67</v>
      </c>
      <c r="E222" s="27" t="s">
        <v>171</v>
      </c>
      <c r="F222" s="28" t="s">
        <v>49</v>
      </c>
      <c r="G222" s="29" t="s">
        <v>39</v>
      </c>
      <c r="H222" s="30" t="n">
        <v>2</v>
      </c>
      <c r="I222" s="31" t="s">
        <v>22</v>
      </c>
      <c r="J222" s="32" t="n">
        <v>45958</v>
      </c>
      <c r="K222" s="33"/>
      <c r="L222" s="33"/>
      <c r="M222" s="33"/>
      <c r="N222" s="33" t="n">
        <v>9935</v>
      </c>
      <c r="O222" s="33"/>
      <c r="P222" s="33"/>
      <c r="Q222" s="33"/>
      <c r="R222" s="33"/>
      <c r="S222" s="33" t="n">
        <v>10898</v>
      </c>
      <c r="T222" s="33"/>
      <c r="U222" s="33"/>
      <c r="V222" s="33"/>
      <c r="W222" s="33"/>
      <c r="X222" s="33" t="n">
        <v>13676</v>
      </c>
      <c r="Y222" s="33"/>
      <c r="Z222" s="33"/>
      <c r="AA222" s="34" t="n">
        <f aca="false">SUM(K222:Z222)</f>
        <v>34509</v>
      </c>
      <c r="AB222" s="35" t="n">
        <f aca="false">SUM(AA222/H222)</f>
        <v>17254.5</v>
      </c>
      <c r="AC222" s="36" t="n">
        <f aca="false">AB222/$AB$2</f>
        <v>1150.3</v>
      </c>
    </row>
    <row r="223" customFormat="false" ht="19.5" hidden="true" customHeight="true" outlineLevel="0" collapsed="false">
      <c r="A223" s="46" t="s">
        <v>60</v>
      </c>
      <c r="B223" s="38" t="s">
        <v>78</v>
      </c>
      <c r="C223" s="25" t="n">
        <v>907</v>
      </c>
      <c r="D223" s="26" t="s">
        <v>110</v>
      </c>
      <c r="E223" s="27" t="s">
        <v>55</v>
      </c>
      <c r="F223" s="28" t="s">
        <v>33</v>
      </c>
      <c r="G223" s="29" t="n">
        <v>10</v>
      </c>
      <c r="H223" s="30" t="n">
        <v>1</v>
      </c>
      <c r="I223" s="41" t="s">
        <v>34</v>
      </c>
      <c r="J223" s="32" t="n">
        <v>45740</v>
      </c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4" t="n">
        <f aca="false">SUM(K223:Z223)</f>
        <v>0</v>
      </c>
      <c r="AB223" s="35" t="n">
        <f aca="false">SUM(AA223/H223)</f>
        <v>0</v>
      </c>
      <c r="AC223" s="36" t="n">
        <f aca="false">AB223/$AB$2</f>
        <v>0</v>
      </c>
    </row>
    <row r="224" customFormat="false" ht="19.5" hidden="true" customHeight="true" outlineLevel="0" collapsed="false">
      <c r="A224" s="49" t="s">
        <v>77</v>
      </c>
      <c r="B224" s="38" t="s">
        <v>78</v>
      </c>
      <c r="C224" s="25" t="n">
        <v>803</v>
      </c>
      <c r="D224" s="26" t="s">
        <v>79</v>
      </c>
      <c r="E224" s="27" t="s">
        <v>131</v>
      </c>
      <c r="F224" s="28" t="s">
        <v>20</v>
      </c>
      <c r="G224" s="29" t="n">
        <v>1</v>
      </c>
      <c r="H224" s="30" t="n">
        <v>0.75</v>
      </c>
      <c r="I224" s="41" t="s">
        <v>34</v>
      </c>
      <c r="J224" s="32" t="n">
        <v>45758</v>
      </c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4" t="n">
        <f aca="false">SUM(K224:Z224)</f>
        <v>0</v>
      </c>
      <c r="AB224" s="35" t="n">
        <f aca="false">SUM(AA224/H224)</f>
        <v>0</v>
      </c>
      <c r="AC224" s="36" t="n">
        <f aca="false">AB224/$AB$2</f>
        <v>0</v>
      </c>
    </row>
    <row r="225" customFormat="false" ht="19.5" hidden="false" customHeight="true" outlineLevel="0" collapsed="false">
      <c r="A225" s="24" t="s">
        <v>42</v>
      </c>
      <c r="B225" s="38" t="s">
        <v>43</v>
      </c>
      <c r="C225" s="25" t="n">
        <v>100</v>
      </c>
      <c r="D225" s="26" t="s">
        <v>44</v>
      </c>
      <c r="E225" s="27" t="s">
        <v>19</v>
      </c>
      <c r="F225" s="28" t="s">
        <v>20</v>
      </c>
      <c r="G225" s="29" t="n">
        <v>5</v>
      </c>
      <c r="H225" s="30" t="n">
        <v>1.4</v>
      </c>
      <c r="I225" s="31" t="s">
        <v>22</v>
      </c>
      <c r="J225" s="32" t="n">
        <v>45954</v>
      </c>
      <c r="K225" s="33"/>
      <c r="L225" s="33"/>
      <c r="M225" s="33"/>
      <c r="N225" s="33" t="n">
        <v>4173</v>
      </c>
      <c r="O225" s="33" t="n">
        <v>3313</v>
      </c>
      <c r="P225" s="33"/>
      <c r="Q225" s="33"/>
      <c r="R225" s="33" t="n">
        <v>222</v>
      </c>
      <c r="S225" s="33" t="n">
        <v>4144</v>
      </c>
      <c r="T225" s="33"/>
      <c r="U225" s="33"/>
      <c r="V225" s="33"/>
      <c r="W225" s="33"/>
      <c r="X225" s="33"/>
      <c r="Y225" s="33" t="n">
        <v>6236</v>
      </c>
      <c r="Z225" s="33"/>
      <c r="AA225" s="34" t="n">
        <f aca="false">SUM(K225:Z225)</f>
        <v>18088</v>
      </c>
      <c r="AB225" s="35" t="n">
        <f aca="false">SUM(AA225/H225)</f>
        <v>12920</v>
      </c>
      <c r="AC225" s="36" t="n">
        <f aca="false">AB225/$AB$2</f>
        <v>861.333333333333</v>
      </c>
    </row>
    <row r="226" customFormat="false" ht="19.5" hidden="true" customHeight="true" outlineLevel="0" collapsed="false">
      <c r="A226" s="24" t="s">
        <v>42</v>
      </c>
      <c r="B226" s="38" t="s">
        <v>43</v>
      </c>
      <c r="C226" s="25" t="n">
        <v>104</v>
      </c>
      <c r="D226" s="26" t="s">
        <v>95</v>
      </c>
      <c r="E226" s="27" t="s">
        <v>131</v>
      </c>
      <c r="F226" s="28" t="s">
        <v>20</v>
      </c>
      <c r="G226" s="29" t="n">
        <v>2</v>
      </c>
      <c r="H226" s="30" t="n">
        <v>1.2</v>
      </c>
      <c r="I226" s="41" t="s">
        <v>34</v>
      </c>
      <c r="J226" s="32" t="n">
        <v>45783</v>
      </c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4" t="n">
        <f aca="false">SUM(K226:Z226)</f>
        <v>0</v>
      </c>
      <c r="AB226" s="35" t="n">
        <f aca="false">SUM(AA226/H226)</f>
        <v>0</v>
      </c>
      <c r="AC226" s="36" t="n">
        <f aca="false">AB226/$AB$2</f>
        <v>0</v>
      </c>
    </row>
    <row r="227" customFormat="false" ht="19.5" hidden="false" customHeight="true" outlineLevel="0" collapsed="false">
      <c r="A227" s="42" t="s">
        <v>46</v>
      </c>
      <c r="B227" s="38" t="s">
        <v>30</v>
      </c>
      <c r="C227" s="25" t="n">
        <v>305</v>
      </c>
      <c r="D227" s="26" t="s">
        <v>152</v>
      </c>
      <c r="E227" s="27" t="s">
        <v>190</v>
      </c>
      <c r="F227" s="28" t="s">
        <v>87</v>
      </c>
      <c r="G227" s="29" t="n">
        <v>4</v>
      </c>
      <c r="H227" s="30" t="n">
        <v>0.8</v>
      </c>
      <c r="I227" s="41" t="s">
        <v>40</v>
      </c>
      <c r="J227" s="32" t="n">
        <v>46046</v>
      </c>
      <c r="K227" s="33" t="n">
        <v>2180</v>
      </c>
      <c r="L227" s="33"/>
      <c r="M227" s="33"/>
      <c r="N227" s="33"/>
      <c r="O227" s="33" t="n">
        <v>2108</v>
      </c>
      <c r="P227" s="33"/>
      <c r="Q227" s="33"/>
      <c r="R227" s="33" t="n">
        <v>5131</v>
      </c>
      <c r="S227" s="33"/>
      <c r="T227" s="33"/>
      <c r="U227" s="33" t="n">
        <v>4472</v>
      </c>
      <c r="V227" s="33"/>
      <c r="W227" s="33"/>
      <c r="X227" s="33" t="n">
        <v>4470</v>
      </c>
      <c r="Y227" s="33"/>
      <c r="Z227" s="33"/>
      <c r="AA227" s="34" t="n">
        <f aca="false">SUM(K227:Z227)</f>
        <v>18361</v>
      </c>
      <c r="AB227" s="35" t="n">
        <f aca="false">SUM(AA227/H227)</f>
        <v>22951.25</v>
      </c>
      <c r="AC227" s="36" t="n">
        <f aca="false">AB227/$AB$2</f>
        <v>1530.08333333333</v>
      </c>
    </row>
    <row r="228" customFormat="false" ht="19.5" hidden="false" customHeight="true" outlineLevel="0" collapsed="false">
      <c r="A228" s="39" t="s">
        <v>29</v>
      </c>
      <c r="B228" s="38" t="s">
        <v>30</v>
      </c>
      <c r="C228" s="25" t="n">
        <v>502</v>
      </c>
      <c r="D228" s="26" t="s">
        <v>31</v>
      </c>
      <c r="E228" s="27" t="s">
        <v>19</v>
      </c>
      <c r="F228" s="28" t="s">
        <v>20</v>
      </c>
      <c r="G228" s="29" t="s">
        <v>45</v>
      </c>
      <c r="H228" s="30" t="n">
        <v>1.76</v>
      </c>
      <c r="I228" s="31" t="s">
        <v>22</v>
      </c>
      <c r="J228" s="32" t="n">
        <v>45843</v>
      </c>
      <c r="K228" s="33" t="n">
        <v>2970</v>
      </c>
      <c r="L228" s="33"/>
      <c r="M228" s="33"/>
      <c r="N228" s="33"/>
      <c r="O228" s="33"/>
      <c r="P228" s="33"/>
      <c r="Q228" s="33" t="n">
        <v>2524</v>
      </c>
      <c r="R228" s="33"/>
      <c r="S228" s="33"/>
      <c r="T228" s="33"/>
      <c r="U228" s="33"/>
      <c r="V228" s="33"/>
      <c r="W228" s="33" t="n">
        <v>3352</v>
      </c>
      <c r="X228" s="33"/>
      <c r="Y228" s="33"/>
      <c r="Z228" s="33"/>
      <c r="AA228" s="34" t="n">
        <f aca="false">SUM(K228:Z228)</f>
        <v>8846</v>
      </c>
      <c r="AB228" s="35" t="n">
        <f aca="false">SUM(AA228/H228)</f>
        <v>5026.13636363636</v>
      </c>
      <c r="AC228" s="36" t="n">
        <f aca="false">AB228/$AB$2</f>
        <v>335.075757575758</v>
      </c>
    </row>
    <row r="229" customFormat="false" ht="19.5" hidden="false" customHeight="true" outlineLevel="0" collapsed="false">
      <c r="A229" s="39" t="s">
        <v>29</v>
      </c>
      <c r="B229" s="38" t="s">
        <v>30</v>
      </c>
      <c r="C229" s="25" t="n">
        <v>502</v>
      </c>
      <c r="D229" s="26" t="s">
        <v>31</v>
      </c>
      <c r="E229" s="27" t="s">
        <v>35</v>
      </c>
      <c r="F229" s="28" t="s">
        <v>20</v>
      </c>
      <c r="G229" s="29" t="s">
        <v>28</v>
      </c>
      <c r="H229" s="30" t="n">
        <v>1.6</v>
      </c>
      <c r="I229" s="31" t="s">
        <v>22</v>
      </c>
      <c r="J229" s="32" t="n">
        <v>45840</v>
      </c>
      <c r="K229" s="33"/>
      <c r="L229" s="33" t="n">
        <v>2286</v>
      </c>
      <c r="M229" s="33"/>
      <c r="N229" s="33" t="n">
        <v>2795</v>
      </c>
      <c r="O229" s="33" t="n">
        <v>660</v>
      </c>
      <c r="P229" s="33" t="n">
        <v>2445</v>
      </c>
      <c r="Q229" s="33"/>
      <c r="R229" s="33" t="n">
        <v>2024</v>
      </c>
      <c r="S229" s="33"/>
      <c r="T229" s="33" t="n">
        <v>1548</v>
      </c>
      <c r="U229" s="33"/>
      <c r="V229" s="33" t="n">
        <v>1420</v>
      </c>
      <c r="W229" s="33"/>
      <c r="X229" s="33" t="n">
        <v>1397</v>
      </c>
      <c r="Y229" s="33"/>
      <c r="Z229" s="33"/>
      <c r="AA229" s="34" t="n">
        <f aca="false">SUM(K229:Z229)</f>
        <v>14575</v>
      </c>
      <c r="AB229" s="35" t="n">
        <f aca="false">SUM(AA229/H229)</f>
        <v>9109.375</v>
      </c>
      <c r="AC229" s="36" t="n">
        <f aca="false">AB229/$AB$2</f>
        <v>607.291666666667</v>
      </c>
    </row>
    <row r="230" customFormat="false" ht="19.5" hidden="true" customHeight="true" outlineLevel="0" collapsed="false">
      <c r="A230" s="24" t="s">
        <v>42</v>
      </c>
      <c r="B230" s="38" t="s">
        <v>43</v>
      </c>
      <c r="C230" s="25" t="n">
        <v>104</v>
      </c>
      <c r="D230" s="26" t="s">
        <v>95</v>
      </c>
      <c r="E230" s="27" t="s">
        <v>19</v>
      </c>
      <c r="F230" s="28" t="s">
        <v>20</v>
      </c>
      <c r="G230" s="29" t="n">
        <v>8</v>
      </c>
      <c r="H230" s="30" t="n">
        <v>1.45</v>
      </c>
      <c r="I230" s="41" t="s">
        <v>34</v>
      </c>
      <c r="J230" s="32" t="n">
        <v>45813</v>
      </c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4" t="n">
        <f aca="false">SUM(K230:Z230)</f>
        <v>0</v>
      </c>
      <c r="AB230" s="35" t="n">
        <f aca="false">SUM(AA230/H230)</f>
        <v>0</v>
      </c>
      <c r="AC230" s="36" t="n">
        <f aca="false">AB230/$AB$2</f>
        <v>0</v>
      </c>
    </row>
    <row r="231" customFormat="false" ht="19.5" hidden="false" customHeight="true" outlineLevel="0" collapsed="false">
      <c r="A231" s="53" t="s">
        <v>106</v>
      </c>
      <c r="B231" s="38" t="s">
        <v>78</v>
      </c>
      <c r="C231" s="25" t="n">
        <v>908</v>
      </c>
      <c r="D231" s="26" t="s">
        <v>144</v>
      </c>
      <c r="E231" s="27" t="s">
        <v>32</v>
      </c>
      <c r="F231" s="28" t="s">
        <v>33</v>
      </c>
      <c r="G231" s="29" t="n">
        <v>6</v>
      </c>
      <c r="H231" s="30" t="n">
        <v>0.6</v>
      </c>
      <c r="I231" s="31" t="s">
        <v>22</v>
      </c>
      <c r="J231" s="32" t="n">
        <v>45848</v>
      </c>
      <c r="K231" s="33"/>
      <c r="L231" s="33"/>
      <c r="M231" s="33"/>
      <c r="N231" s="33"/>
      <c r="O231" s="33" t="n">
        <v>2130</v>
      </c>
      <c r="P231" s="33"/>
      <c r="Q231" s="33"/>
      <c r="R231" s="33"/>
      <c r="S231" s="33"/>
      <c r="T231" s="33" t="n">
        <v>1254</v>
      </c>
      <c r="U231" s="33"/>
      <c r="V231" s="33"/>
      <c r="W231" s="33"/>
      <c r="X231" s="33"/>
      <c r="Y231" s="33" t="n">
        <v>1726</v>
      </c>
      <c r="Z231" s="33"/>
      <c r="AA231" s="34" t="n">
        <f aca="false">SUM(K231:Z231)</f>
        <v>5110</v>
      </c>
      <c r="AB231" s="35" t="n">
        <f aca="false">SUM(AA231/H231)</f>
        <v>8516.66666666667</v>
      </c>
      <c r="AC231" s="36" t="n">
        <f aca="false">AB231/$AB$2</f>
        <v>567.777777777778</v>
      </c>
    </row>
    <row r="232" customFormat="false" ht="19.5" hidden="false" customHeight="true" outlineLevel="0" collapsed="false">
      <c r="A232" s="39" t="s">
        <v>29</v>
      </c>
      <c r="B232" s="38" t="s">
        <v>26</v>
      </c>
      <c r="C232" s="25" t="n">
        <v>404</v>
      </c>
      <c r="D232" s="26" t="s">
        <v>126</v>
      </c>
      <c r="E232" s="27" t="s">
        <v>74</v>
      </c>
      <c r="F232" s="28" t="s">
        <v>20</v>
      </c>
      <c r="G232" s="29" t="n">
        <v>3</v>
      </c>
      <c r="H232" s="30" t="n">
        <v>1.1</v>
      </c>
      <c r="I232" s="31" t="s">
        <v>22</v>
      </c>
      <c r="J232" s="32" t="n">
        <v>45857</v>
      </c>
      <c r="K232" s="33"/>
      <c r="L232" s="33" t="n">
        <v>1364</v>
      </c>
      <c r="M232" s="33"/>
      <c r="N232" s="33" t="n">
        <v>1160</v>
      </c>
      <c r="O232" s="33"/>
      <c r="P232" s="33" t="n">
        <v>784</v>
      </c>
      <c r="Q232" s="33"/>
      <c r="R232" s="33"/>
      <c r="S232" s="33"/>
      <c r="T232" s="33" t="n">
        <v>704</v>
      </c>
      <c r="U232" s="33" t="n">
        <v>736</v>
      </c>
      <c r="V232" s="33"/>
      <c r="W232" s="33"/>
      <c r="X232" s="33"/>
      <c r="Y232" s="33" t="n">
        <v>1018</v>
      </c>
      <c r="Z232" s="33"/>
      <c r="AA232" s="34" t="n">
        <f aca="false">SUM(K232:Z232)</f>
        <v>5766</v>
      </c>
      <c r="AB232" s="35" t="n">
        <f aca="false">SUM(AA232/H232)</f>
        <v>5241.81818181818</v>
      </c>
      <c r="AC232" s="36" t="n">
        <f aca="false">AB232/$AB$2</f>
        <v>349.454545454545</v>
      </c>
    </row>
    <row r="233" customFormat="false" ht="19.5" hidden="true" customHeight="true" outlineLevel="0" collapsed="false">
      <c r="A233" s="24" t="s">
        <v>42</v>
      </c>
      <c r="B233" s="38" t="s">
        <v>43</v>
      </c>
      <c r="C233" s="25" t="n">
        <v>104</v>
      </c>
      <c r="D233" s="26" t="s">
        <v>95</v>
      </c>
      <c r="E233" s="27" t="s">
        <v>32</v>
      </c>
      <c r="F233" s="28" t="s">
        <v>33</v>
      </c>
      <c r="G233" s="29" t="n">
        <v>5</v>
      </c>
      <c r="H233" s="30" t="n">
        <v>1.1</v>
      </c>
      <c r="I233" s="41" t="s">
        <v>34</v>
      </c>
      <c r="J233" s="32" t="n">
        <v>45812</v>
      </c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4" t="n">
        <f aca="false">SUM(K233:Z233)</f>
        <v>0</v>
      </c>
      <c r="AB233" s="35" t="n">
        <f aca="false">SUM(AA233/H233)</f>
        <v>0</v>
      </c>
      <c r="AC233" s="36" t="n">
        <f aca="false">AB233/$AB$2</f>
        <v>0</v>
      </c>
    </row>
    <row r="234" customFormat="false" ht="19.5" hidden="false" customHeight="true" outlineLevel="0" collapsed="false">
      <c r="A234" s="68" t="s">
        <v>155</v>
      </c>
      <c r="B234" s="38" t="s">
        <v>103</v>
      </c>
      <c r="C234" s="25" t="n">
        <v>1012</v>
      </c>
      <c r="D234" s="26" t="s">
        <v>156</v>
      </c>
      <c r="E234" s="27" t="s">
        <v>32</v>
      </c>
      <c r="F234" s="28" t="s">
        <v>33</v>
      </c>
      <c r="G234" s="29" t="s">
        <v>191</v>
      </c>
      <c r="H234" s="30" t="n">
        <v>2.02</v>
      </c>
      <c r="I234" s="31" t="s">
        <v>22</v>
      </c>
      <c r="J234" s="32" t="n">
        <v>45901</v>
      </c>
      <c r="K234" s="33"/>
      <c r="L234" s="33"/>
      <c r="M234" s="33" t="n">
        <v>2086</v>
      </c>
      <c r="N234" s="33" t="n">
        <v>3155</v>
      </c>
      <c r="O234" s="33"/>
      <c r="P234" s="33"/>
      <c r="Q234" s="33"/>
      <c r="R234" s="33" t="n">
        <v>3104</v>
      </c>
      <c r="S234" s="33"/>
      <c r="T234" s="33"/>
      <c r="U234" s="33"/>
      <c r="V234" s="33"/>
      <c r="W234" s="33"/>
      <c r="X234" s="33"/>
      <c r="Y234" s="33" t="n">
        <v>3492</v>
      </c>
      <c r="Z234" s="33"/>
      <c r="AA234" s="34" t="n">
        <f aca="false">SUM(K234:Z234)</f>
        <v>11837</v>
      </c>
      <c r="AB234" s="35" t="n">
        <f aca="false">SUM(AA234/H234)</f>
        <v>5859.90099009901</v>
      </c>
      <c r="AC234" s="36" t="n">
        <f aca="false">AB234/$AB$2</f>
        <v>390.660066006601</v>
      </c>
    </row>
    <row r="235" customFormat="false" ht="19.5" hidden="false" customHeight="true" outlineLevel="0" collapsed="false">
      <c r="A235" s="42" t="s">
        <v>46</v>
      </c>
      <c r="B235" s="38" t="s">
        <v>30</v>
      </c>
      <c r="C235" s="25" t="n">
        <v>305</v>
      </c>
      <c r="D235" s="26" t="s">
        <v>152</v>
      </c>
      <c r="E235" s="27" t="s">
        <v>86</v>
      </c>
      <c r="F235" s="28" t="s">
        <v>87</v>
      </c>
      <c r="G235" s="29" t="n">
        <v>3</v>
      </c>
      <c r="H235" s="30" t="n">
        <v>1</v>
      </c>
      <c r="I235" s="31" t="s">
        <v>22</v>
      </c>
      <c r="J235" s="32" t="n">
        <v>45868</v>
      </c>
      <c r="K235" s="33"/>
      <c r="L235" s="33"/>
      <c r="M235" s="33"/>
      <c r="N235" s="33"/>
      <c r="O235" s="33" t="n">
        <v>2130</v>
      </c>
      <c r="P235" s="33"/>
      <c r="Q235" s="33"/>
      <c r="R235" s="33"/>
      <c r="S235" s="33"/>
      <c r="T235" s="33"/>
      <c r="U235" s="33"/>
      <c r="V235" s="33" t="n">
        <v>1541</v>
      </c>
      <c r="W235" s="33"/>
      <c r="X235" s="33"/>
      <c r="Y235" s="33"/>
      <c r="Z235" s="33"/>
      <c r="AA235" s="34" t="n">
        <f aca="false">SUM(K235:Z235)</f>
        <v>3671</v>
      </c>
      <c r="AB235" s="35" t="n">
        <f aca="false">SUM(AA235/H235)</f>
        <v>3671</v>
      </c>
      <c r="AC235" s="36" t="n">
        <f aca="false">AB235/$AB$2</f>
        <v>244.733333333333</v>
      </c>
    </row>
    <row r="236" customFormat="false" ht="19.5" hidden="false" customHeight="true" outlineLevel="0" collapsed="false">
      <c r="A236" s="42" t="s">
        <v>46</v>
      </c>
      <c r="B236" s="38" t="s">
        <v>30</v>
      </c>
      <c r="C236" s="25" t="n">
        <v>305</v>
      </c>
      <c r="D236" s="26" t="s">
        <v>152</v>
      </c>
      <c r="E236" s="27" t="s">
        <v>146</v>
      </c>
      <c r="F236" s="28" t="s">
        <v>87</v>
      </c>
      <c r="G236" s="29" t="n">
        <v>1</v>
      </c>
      <c r="H236" s="30" t="n">
        <v>1</v>
      </c>
      <c r="I236" s="31" t="s">
        <v>22</v>
      </c>
      <c r="J236" s="32" t="n">
        <v>45877</v>
      </c>
      <c r="K236" s="33"/>
      <c r="L236" s="33"/>
      <c r="M236" s="33"/>
      <c r="N236" s="33"/>
      <c r="O236" s="33"/>
      <c r="P236" s="33" t="n">
        <v>2722</v>
      </c>
      <c r="Q236" s="33" t="n">
        <v>2091</v>
      </c>
      <c r="R236" s="33"/>
      <c r="S236" s="33"/>
      <c r="T236" s="33"/>
      <c r="U236" s="33"/>
      <c r="V236" s="33"/>
      <c r="W236" s="33" t="n">
        <v>3050</v>
      </c>
      <c r="X236" s="33"/>
      <c r="Y236" s="33"/>
      <c r="Z236" s="33"/>
      <c r="AA236" s="34" t="n">
        <f aca="false">SUM(K236:Z236)</f>
        <v>7863</v>
      </c>
      <c r="AB236" s="35" t="n">
        <f aca="false">SUM(AA236/H236)</f>
        <v>7863</v>
      </c>
      <c r="AC236" s="36" t="n">
        <f aca="false">AB236/$AB$2</f>
        <v>524.2</v>
      </c>
    </row>
    <row r="237" customFormat="false" ht="19.5" hidden="false" customHeight="true" outlineLevel="0" collapsed="false">
      <c r="A237" s="53" t="s">
        <v>106</v>
      </c>
      <c r="B237" s="38" t="s">
        <v>78</v>
      </c>
      <c r="C237" s="25" t="n">
        <v>908</v>
      </c>
      <c r="D237" s="26" t="s">
        <v>144</v>
      </c>
      <c r="E237" s="27" t="s">
        <v>32</v>
      </c>
      <c r="F237" s="28" t="s">
        <v>33</v>
      </c>
      <c r="G237" s="29" t="n">
        <v>4</v>
      </c>
      <c r="H237" s="30" t="n">
        <v>1.2</v>
      </c>
      <c r="I237" s="31" t="s">
        <v>22</v>
      </c>
      <c r="J237" s="32" t="n">
        <v>45907</v>
      </c>
      <c r="K237" s="33"/>
      <c r="L237" s="33"/>
      <c r="M237" s="33" t="n">
        <v>4006</v>
      </c>
      <c r="N237" s="33"/>
      <c r="O237" s="33"/>
      <c r="P237" s="33"/>
      <c r="Q237" s="33"/>
      <c r="R237" s="33"/>
      <c r="S237" s="33" t="n">
        <v>3788</v>
      </c>
      <c r="T237" s="33"/>
      <c r="U237" s="33"/>
      <c r="V237" s="33"/>
      <c r="W237" s="33"/>
      <c r="X237" s="33" t="n">
        <v>2810</v>
      </c>
      <c r="Y237" s="33" t="n">
        <v>3145</v>
      </c>
      <c r="Z237" s="33"/>
      <c r="AA237" s="34" t="n">
        <f aca="false">SUM(K237:Z237)</f>
        <v>13749</v>
      </c>
      <c r="AB237" s="35" t="n">
        <f aca="false">SUM(AA237/H237)</f>
        <v>11457.5</v>
      </c>
      <c r="AC237" s="36" t="n">
        <f aca="false">AB237/$AB$2</f>
        <v>763.833333333333</v>
      </c>
    </row>
    <row r="238" customFormat="false" ht="19.5" hidden="false" customHeight="true" outlineLevel="0" collapsed="false">
      <c r="A238" s="51" t="s">
        <v>97</v>
      </c>
      <c r="B238" s="38" t="s">
        <v>66</v>
      </c>
      <c r="C238" s="25" t="n">
        <v>910</v>
      </c>
      <c r="D238" s="26" t="s">
        <v>127</v>
      </c>
      <c r="E238" s="27" t="s">
        <v>32</v>
      </c>
      <c r="F238" s="28" t="s">
        <v>33</v>
      </c>
      <c r="G238" s="29" t="s">
        <v>36</v>
      </c>
      <c r="H238" s="30" t="n">
        <v>2</v>
      </c>
      <c r="I238" s="31" t="s">
        <v>22</v>
      </c>
      <c r="J238" s="32" t="n">
        <v>45918</v>
      </c>
      <c r="K238" s="33" t="n">
        <v>646</v>
      </c>
      <c r="L238" s="33" t="n">
        <v>5484</v>
      </c>
      <c r="M238" s="33"/>
      <c r="N238" s="33"/>
      <c r="O238" s="33" t="n">
        <v>1890</v>
      </c>
      <c r="P238" s="33" t="n">
        <v>525</v>
      </c>
      <c r="Q238" s="33" t="n">
        <v>2020</v>
      </c>
      <c r="R238" s="33"/>
      <c r="S238" s="33"/>
      <c r="T238" s="33"/>
      <c r="U238" s="33"/>
      <c r="V238" s="33" t="n">
        <v>4284</v>
      </c>
      <c r="W238" s="33" t="n">
        <v>732</v>
      </c>
      <c r="X238" s="33"/>
      <c r="Y238" s="33" t="n">
        <v>1336</v>
      </c>
      <c r="Z238" s="33"/>
      <c r="AA238" s="34" t="n">
        <f aca="false">SUM(K238:Z238)</f>
        <v>16917</v>
      </c>
      <c r="AB238" s="35" t="n">
        <f aca="false">SUM(AA238/H238)</f>
        <v>8458.5</v>
      </c>
      <c r="AC238" s="36" t="n">
        <f aca="false">AB238/$AB$2</f>
        <v>563.9</v>
      </c>
    </row>
    <row r="239" customFormat="false" ht="19.5" hidden="false" customHeight="true" outlineLevel="0" collapsed="false">
      <c r="A239" s="53" t="s">
        <v>106</v>
      </c>
      <c r="B239" s="38" t="s">
        <v>78</v>
      </c>
      <c r="C239" s="25" t="n">
        <v>908</v>
      </c>
      <c r="D239" s="26" t="s">
        <v>144</v>
      </c>
      <c r="E239" s="27" t="s">
        <v>23</v>
      </c>
      <c r="F239" s="28" t="s">
        <v>20</v>
      </c>
      <c r="G239" s="29" t="n">
        <v>5</v>
      </c>
      <c r="H239" s="30" t="n">
        <v>1.2</v>
      </c>
      <c r="I239" s="31" t="s">
        <v>22</v>
      </c>
      <c r="J239" s="32" t="n">
        <v>45909</v>
      </c>
      <c r="K239" s="33"/>
      <c r="L239" s="33" t="n">
        <v>3968</v>
      </c>
      <c r="M239" s="33"/>
      <c r="N239" s="33"/>
      <c r="O239" s="33"/>
      <c r="P239" s="33"/>
      <c r="Q239" s="33"/>
      <c r="R239" s="33"/>
      <c r="S239" s="33" t="n">
        <v>3476</v>
      </c>
      <c r="T239" s="33"/>
      <c r="U239" s="33"/>
      <c r="V239" s="33"/>
      <c r="W239" s="33"/>
      <c r="X239" s="33" t="n">
        <v>4336</v>
      </c>
      <c r="Y239" s="33"/>
      <c r="Z239" s="33"/>
      <c r="AA239" s="34" t="n">
        <f aca="false">SUM(K239:Z239)</f>
        <v>11780</v>
      </c>
      <c r="AB239" s="35" t="n">
        <f aca="false">SUM(AA239/H239)</f>
        <v>9816.66666666667</v>
      </c>
      <c r="AC239" s="36" t="n">
        <f aca="false">AB239/$AB$2</f>
        <v>654.444444444445</v>
      </c>
    </row>
    <row r="240" customFormat="false" ht="19.5" hidden="false" customHeight="true" outlineLevel="0" collapsed="false">
      <c r="A240" s="47" t="s">
        <v>65</v>
      </c>
      <c r="B240" s="38" t="s">
        <v>66</v>
      </c>
      <c r="C240" s="25" t="n">
        <v>904</v>
      </c>
      <c r="D240" s="26" t="s">
        <v>157</v>
      </c>
      <c r="E240" s="27" t="s">
        <v>100</v>
      </c>
      <c r="F240" s="28" t="s">
        <v>87</v>
      </c>
      <c r="G240" s="29" t="n">
        <v>4</v>
      </c>
      <c r="H240" s="30" t="n">
        <v>1.25</v>
      </c>
      <c r="I240" s="31" t="s">
        <v>22</v>
      </c>
      <c r="J240" s="32" t="n">
        <v>45874</v>
      </c>
      <c r="K240" s="33"/>
      <c r="L240" s="33" t="n">
        <v>3523</v>
      </c>
      <c r="M240" s="33"/>
      <c r="N240" s="33"/>
      <c r="O240" s="33"/>
      <c r="P240" s="33"/>
      <c r="Q240" s="33"/>
      <c r="R240" s="33" t="n">
        <v>2683</v>
      </c>
      <c r="S240" s="33"/>
      <c r="T240" s="33"/>
      <c r="U240" s="33" t="n">
        <v>3849</v>
      </c>
      <c r="V240" s="33"/>
      <c r="W240" s="33"/>
      <c r="X240" s="33"/>
      <c r="Y240" s="33" t="n">
        <v>1804</v>
      </c>
      <c r="Z240" s="33"/>
      <c r="AA240" s="34" t="n">
        <f aca="false">SUM(K240:Z240)</f>
        <v>11859</v>
      </c>
      <c r="AB240" s="35" t="n">
        <f aca="false">SUM(AA240/H240)</f>
        <v>9487.2</v>
      </c>
      <c r="AC240" s="36" t="n">
        <f aca="false">AB240/$AB$2</f>
        <v>632.48</v>
      </c>
    </row>
    <row r="241" customFormat="false" ht="19.5" hidden="false" customHeight="true" outlineLevel="0" collapsed="false">
      <c r="A241" s="42" t="s">
        <v>46</v>
      </c>
      <c r="B241" s="38" t="s">
        <v>30</v>
      </c>
      <c r="C241" s="25" t="n">
        <v>305</v>
      </c>
      <c r="D241" s="26" t="s">
        <v>152</v>
      </c>
      <c r="E241" s="27" t="s">
        <v>192</v>
      </c>
      <c r="F241" s="28" t="s">
        <v>87</v>
      </c>
      <c r="G241" s="29" t="n">
        <v>2</v>
      </c>
      <c r="H241" s="30" t="n">
        <v>1</v>
      </c>
      <c r="I241" s="31" t="s">
        <v>22</v>
      </c>
      <c r="J241" s="32" t="n">
        <v>45910</v>
      </c>
      <c r="K241" s="33" t="n">
        <v>2586</v>
      </c>
      <c r="L241" s="33" t="n">
        <v>1421</v>
      </c>
      <c r="M241" s="33"/>
      <c r="N241" s="33"/>
      <c r="O241" s="33"/>
      <c r="P241" s="33"/>
      <c r="Q241" s="33"/>
      <c r="R241" s="33"/>
      <c r="S241" s="33" t="n">
        <v>2086</v>
      </c>
      <c r="T241" s="33" t="n">
        <v>1861</v>
      </c>
      <c r="U241" s="33"/>
      <c r="V241" s="33"/>
      <c r="W241" s="33"/>
      <c r="X241" s="33" t="n">
        <v>1932</v>
      </c>
      <c r="Y241" s="33"/>
      <c r="Z241" s="33"/>
      <c r="AA241" s="34" t="n">
        <f aca="false">SUM(K241:Z241)</f>
        <v>9886</v>
      </c>
      <c r="AB241" s="35" t="n">
        <f aca="false">SUM(AA241/H241)</f>
        <v>9886</v>
      </c>
      <c r="AC241" s="36" t="n">
        <f aca="false">AB241/$AB$2</f>
        <v>659.066666666667</v>
      </c>
    </row>
    <row r="242" customFormat="false" ht="19.5" hidden="false" customHeight="true" outlineLevel="0" collapsed="false">
      <c r="A242" s="42" t="s">
        <v>46</v>
      </c>
      <c r="B242" s="38" t="s">
        <v>30</v>
      </c>
      <c r="C242" s="25" t="n">
        <v>303</v>
      </c>
      <c r="D242" s="26" t="s">
        <v>47</v>
      </c>
      <c r="E242" s="27" t="s">
        <v>48</v>
      </c>
      <c r="F242" s="28" t="s">
        <v>49</v>
      </c>
      <c r="G242" s="29" t="n">
        <v>2</v>
      </c>
      <c r="H242" s="30" t="n">
        <v>1.1</v>
      </c>
      <c r="I242" s="31" t="s">
        <v>22</v>
      </c>
      <c r="J242" s="32" t="n">
        <v>45990</v>
      </c>
      <c r="K242" s="33"/>
      <c r="L242" s="33" t="n">
        <v>4201</v>
      </c>
      <c r="M242" s="33"/>
      <c r="N242" s="33"/>
      <c r="O242" s="33" t="n">
        <v>2200</v>
      </c>
      <c r="P242" s="33" t="n">
        <v>2522</v>
      </c>
      <c r="Q242" s="33"/>
      <c r="R242" s="33" t="n">
        <v>1599</v>
      </c>
      <c r="S242" s="33" t="n">
        <v>2561</v>
      </c>
      <c r="T242" s="33"/>
      <c r="U242" s="33"/>
      <c r="V242" s="33" t="n">
        <v>4686</v>
      </c>
      <c r="W242" s="33"/>
      <c r="X242" s="33"/>
      <c r="Y242" s="33" t="n">
        <v>3165</v>
      </c>
      <c r="Z242" s="33"/>
      <c r="AA242" s="34" t="n">
        <f aca="false">SUM(K242:Z242)</f>
        <v>20934</v>
      </c>
      <c r="AB242" s="35" t="n">
        <f aca="false">SUM(AA242/H242)</f>
        <v>19030.9090909091</v>
      </c>
      <c r="AC242" s="36" t="n">
        <f aca="false">AB242/$AB$2</f>
        <v>1268.72727272727</v>
      </c>
    </row>
    <row r="243" customFormat="false" ht="19.5" hidden="false" customHeight="true" outlineLevel="0" collapsed="false">
      <c r="A243" s="50" t="s">
        <v>83</v>
      </c>
      <c r="B243" s="38" t="s">
        <v>84</v>
      </c>
      <c r="C243" s="25" t="n">
        <v>204</v>
      </c>
      <c r="D243" s="26" t="s">
        <v>85</v>
      </c>
      <c r="E243" s="27" t="s">
        <v>159</v>
      </c>
      <c r="F243" s="28" t="s">
        <v>87</v>
      </c>
      <c r="G243" s="29" t="n">
        <v>4</v>
      </c>
      <c r="H243" s="30" t="n">
        <v>1</v>
      </c>
      <c r="I243" s="31" t="s">
        <v>22</v>
      </c>
      <c r="J243" s="32" t="n">
        <v>45925</v>
      </c>
      <c r="K243" s="33"/>
      <c r="L243" s="33" t="n">
        <v>2519</v>
      </c>
      <c r="M243" s="33" t="n">
        <v>1922</v>
      </c>
      <c r="N243" s="33"/>
      <c r="O243" s="33"/>
      <c r="P243" s="33" t="n">
        <v>2665</v>
      </c>
      <c r="Q243" s="33"/>
      <c r="R243" s="33"/>
      <c r="S243" s="33"/>
      <c r="T243" s="33"/>
      <c r="U243" s="33" t="n">
        <v>778</v>
      </c>
      <c r="V243" s="33" t="n">
        <v>617</v>
      </c>
      <c r="W243" s="33"/>
      <c r="X243" s="33"/>
      <c r="Y243" s="33" t="n">
        <v>892</v>
      </c>
      <c r="Z243" s="33"/>
      <c r="AA243" s="34" t="n">
        <f aca="false">SUM(K243:Z243)</f>
        <v>9393</v>
      </c>
      <c r="AB243" s="35" t="n">
        <f aca="false">SUM(AA243/H243)</f>
        <v>9393</v>
      </c>
      <c r="AC243" s="36" t="n">
        <f aca="false">AB243/$AB$2</f>
        <v>626.2</v>
      </c>
    </row>
    <row r="244" customFormat="false" ht="19.5" hidden="false" customHeight="true" outlineLevel="0" collapsed="false">
      <c r="A244" s="48" t="s">
        <v>70</v>
      </c>
      <c r="B244" s="38" t="s">
        <v>26</v>
      </c>
      <c r="C244" s="25" t="n">
        <v>1015</v>
      </c>
      <c r="D244" s="26" t="s">
        <v>73</v>
      </c>
      <c r="E244" s="27" t="s">
        <v>23</v>
      </c>
      <c r="F244" s="28" t="s">
        <v>20</v>
      </c>
      <c r="G244" s="29" t="s">
        <v>53</v>
      </c>
      <c r="H244" s="30" t="n">
        <v>2.78</v>
      </c>
      <c r="I244" s="31" t="s">
        <v>22</v>
      </c>
      <c r="J244" s="32" t="n">
        <v>45953</v>
      </c>
      <c r="K244" s="33" t="n">
        <v>4712</v>
      </c>
      <c r="L244" s="33"/>
      <c r="M244" s="33" t="n">
        <v>5014</v>
      </c>
      <c r="N244" s="33" t="n">
        <v>6434</v>
      </c>
      <c r="O244" s="33" t="n">
        <v>3602</v>
      </c>
      <c r="P244" s="33" t="n">
        <v>4104</v>
      </c>
      <c r="Q244" s="33"/>
      <c r="R244" s="33" t="n">
        <v>4114</v>
      </c>
      <c r="S244" s="33" t="n">
        <v>3710</v>
      </c>
      <c r="T244" s="33" t="n">
        <v>4022</v>
      </c>
      <c r="U244" s="33" t="n">
        <v>5332</v>
      </c>
      <c r="V244" s="33"/>
      <c r="W244" s="33" t="n">
        <v>7168</v>
      </c>
      <c r="X244" s="33" t="n">
        <v>6299</v>
      </c>
      <c r="Y244" s="33" t="n">
        <v>5446</v>
      </c>
      <c r="Z244" s="33"/>
      <c r="AA244" s="34" t="n">
        <f aca="false">SUM(K244:Z244)</f>
        <v>59957</v>
      </c>
      <c r="AB244" s="35" t="n">
        <f aca="false">SUM(AA244/H244)</f>
        <v>21567.2661870504</v>
      </c>
      <c r="AC244" s="36" t="n">
        <f aca="false">AB244/$AB$2</f>
        <v>1437.81774580336</v>
      </c>
    </row>
    <row r="245" customFormat="false" ht="19.5" hidden="false" customHeight="true" outlineLevel="0" collapsed="false">
      <c r="A245" s="24" t="s">
        <v>42</v>
      </c>
      <c r="B245" s="38" t="s">
        <v>43</v>
      </c>
      <c r="C245" s="25" t="n">
        <v>101</v>
      </c>
      <c r="D245" s="26" t="s">
        <v>54</v>
      </c>
      <c r="E245" s="27" t="s">
        <v>193</v>
      </c>
      <c r="F245" s="28" t="s">
        <v>49</v>
      </c>
      <c r="G245" s="29" t="s">
        <v>41</v>
      </c>
      <c r="H245" s="30" t="n">
        <v>2.1</v>
      </c>
      <c r="I245" s="31" t="s">
        <v>22</v>
      </c>
      <c r="J245" s="32" t="n">
        <v>45946</v>
      </c>
      <c r="K245" s="33" t="n">
        <v>6485</v>
      </c>
      <c r="L245" s="33" t="n">
        <v>3800</v>
      </c>
      <c r="M245" s="33"/>
      <c r="N245" s="33"/>
      <c r="O245" s="33" t="n">
        <v>6932</v>
      </c>
      <c r="P245" s="33" t="n">
        <v>779</v>
      </c>
      <c r="Q245" s="33" t="n">
        <v>588</v>
      </c>
      <c r="R245" s="33"/>
      <c r="S245" s="33" t="n">
        <v>9012</v>
      </c>
      <c r="T245" s="33" t="n">
        <v>2357</v>
      </c>
      <c r="U245" s="33"/>
      <c r="V245" s="33"/>
      <c r="W245" s="33" t="n">
        <v>9366</v>
      </c>
      <c r="X245" s="33"/>
      <c r="Y245" s="33" t="n">
        <v>254</v>
      </c>
      <c r="Z245" s="33"/>
      <c r="AA245" s="34" t="n">
        <f aca="false">SUM(K245:Z245)</f>
        <v>39573</v>
      </c>
      <c r="AB245" s="35" t="n">
        <f aca="false">SUM(AA245/H245)</f>
        <v>18844.2857142857</v>
      </c>
      <c r="AC245" s="36" t="n">
        <f aca="false">AB245/$AB$2</f>
        <v>1256.28571428571</v>
      </c>
    </row>
    <row r="246" customFormat="false" ht="19.5" hidden="false" customHeight="true" outlineLevel="0" collapsed="false">
      <c r="A246" s="65" t="s">
        <v>132</v>
      </c>
      <c r="B246" s="38" t="s">
        <v>17</v>
      </c>
      <c r="C246" s="25" t="n">
        <v>801</v>
      </c>
      <c r="D246" s="26" t="s">
        <v>133</v>
      </c>
      <c r="E246" s="27" t="s">
        <v>23</v>
      </c>
      <c r="F246" s="28" t="s">
        <v>20</v>
      </c>
      <c r="G246" s="29" t="s">
        <v>28</v>
      </c>
      <c r="H246" s="30" t="n">
        <v>1.86</v>
      </c>
      <c r="I246" s="31" t="s">
        <v>22</v>
      </c>
      <c r="J246" s="32" t="n">
        <v>45948</v>
      </c>
      <c r="K246" s="33"/>
      <c r="L246" s="33"/>
      <c r="M246" s="33" t="n">
        <v>6985</v>
      </c>
      <c r="N246" s="33"/>
      <c r="O246" s="33"/>
      <c r="P246" s="33" t="n">
        <v>2776</v>
      </c>
      <c r="Q246" s="33" t="n">
        <v>1370</v>
      </c>
      <c r="R246" s="33" t="n">
        <v>187</v>
      </c>
      <c r="S246" s="33" t="n">
        <v>182</v>
      </c>
      <c r="T246" s="33" t="n">
        <v>2198</v>
      </c>
      <c r="U246" s="33" t="n">
        <v>2546</v>
      </c>
      <c r="V246" s="33"/>
      <c r="W246" s="33"/>
      <c r="X246" s="33" t="n">
        <v>529</v>
      </c>
      <c r="Y246" s="33" t="n">
        <v>3928</v>
      </c>
      <c r="Z246" s="33"/>
      <c r="AA246" s="34" t="n">
        <f aca="false">SUM(K246:Z246)</f>
        <v>20701</v>
      </c>
      <c r="AB246" s="35" t="n">
        <f aca="false">SUM(AA246/H246)</f>
        <v>11129.5698924731</v>
      </c>
      <c r="AC246" s="36" t="n">
        <f aca="false">AB246/$AB$2</f>
        <v>741.971326164874</v>
      </c>
    </row>
    <row r="247" customFormat="false" ht="19.5" hidden="false" customHeight="true" outlineLevel="0" collapsed="false">
      <c r="A247" s="39" t="s">
        <v>29</v>
      </c>
      <c r="B247" s="38" t="s">
        <v>30</v>
      </c>
      <c r="C247" s="25" t="n">
        <v>405</v>
      </c>
      <c r="D247" s="26" t="s">
        <v>194</v>
      </c>
      <c r="E247" s="27" t="s">
        <v>50</v>
      </c>
      <c r="F247" s="28" t="s">
        <v>49</v>
      </c>
      <c r="G247" s="29" t="s">
        <v>195</v>
      </c>
      <c r="H247" s="30" t="n">
        <v>2.28</v>
      </c>
      <c r="I247" s="31" t="s">
        <v>22</v>
      </c>
      <c r="J247" s="32" t="n">
        <v>45966</v>
      </c>
      <c r="K247" s="33" t="n">
        <v>7809</v>
      </c>
      <c r="L247" s="33"/>
      <c r="M247" s="33"/>
      <c r="N247" s="33" t="n">
        <v>6966</v>
      </c>
      <c r="O247" s="33"/>
      <c r="P247" s="33" t="n">
        <v>2948</v>
      </c>
      <c r="Q247" s="33"/>
      <c r="R247" s="33"/>
      <c r="S247" s="33" t="n">
        <v>5727</v>
      </c>
      <c r="T247" s="33" t="n">
        <v>11957</v>
      </c>
      <c r="U247" s="33"/>
      <c r="V247" s="33"/>
      <c r="W247" s="33" t="n">
        <v>6688</v>
      </c>
      <c r="X247" s="33" t="n">
        <v>5446</v>
      </c>
      <c r="Y247" s="33" t="n">
        <v>4392</v>
      </c>
      <c r="Z247" s="33"/>
      <c r="AA247" s="34" t="n">
        <f aca="false">SUM(K247:Z247)</f>
        <v>51933</v>
      </c>
      <c r="AB247" s="35" t="n">
        <f aca="false">SUM(AA247/H247)</f>
        <v>22777.6315789474</v>
      </c>
      <c r="AC247" s="36" t="n">
        <f aca="false">AB247/$AB$2</f>
        <v>1518.50877192982</v>
      </c>
    </row>
    <row r="248" customFormat="false" ht="19.5" hidden="false" customHeight="true" outlineLevel="0" collapsed="false">
      <c r="A248" s="39" t="s">
        <v>29</v>
      </c>
      <c r="B248" s="38" t="s">
        <v>30</v>
      </c>
      <c r="C248" s="25" t="n">
        <v>405</v>
      </c>
      <c r="D248" s="26" t="s">
        <v>194</v>
      </c>
      <c r="E248" s="27" t="s">
        <v>48</v>
      </c>
      <c r="F248" s="28" t="s">
        <v>49</v>
      </c>
      <c r="G248" s="29" t="s">
        <v>53</v>
      </c>
      <c r="H248" s="30" t="n">
        <v>3.68</v>
      </c>
      <c r="I248" s="31" t="s">
        <v>22</v>
      </c>
      <c r="J248" s="32" t="n">
        <v>45961</v>
      </c>
      <c r="K248" s="33" t="n">
        <v>2056</v>
      </c>
      <c r="L248" s="33" t="n">
        <v>5637</v>
      </c>
      <c r="M248" s="33" t="n">
        <v>6840</v>
      </c>
      <c r="N248" s="33"/>
      <c r="O248" s="33"/>
      <c r="P248" s="33"/>
      <c r="Q248" s="33" t="n">
        <v>12808</v>
      </c>
      <c r="R248" s="33" t="n">
        <v>10807</v>
      </c>
      <c r="S248" s="33" t="n">
        <v>4306</v>
      </c>
      <c r="T248" s="33"/>
      <c r="U248" s="33" t="n">
        <v>9810</v>
      </c>
      <c r="V248" s="33" t="n">
        <v>5667</v>
      </c>
      <c r="W248" s="33" t="n">
        <v>3688</v>
      </c>
      <c r="X248" s="33"/>
      <c r="Y248" s="33" t="n">
        <v>4476</v>
      </c>
      <c r="Z248" s="33"/>
      <c r="AA248" s="34" t="n">
        <f aca="false">SUM(K248:Z248)</f>
        <v>66095</v>
      </c>
      <c r="AB248" s="35" t="n">
        <f aca="false">SUM(AA248/H248)</f>
        <v>17960.597826087</v>
      </c>
      <c r="AC248" s="36" t="n">
        <f aca="false">AB248/$AB$2</f>
        <v>1197.3731884058</v>
      </c>
    </row>
    <row r="249" customFormat="false" ht="19.5" hidden="false" customHeight="true" outlineLevel="0" collapsed="false">
      <c r="A249" s="43" t="s">
        <v>51</v>
      </c>
      <c r="B249" s="38" t="s">
        <v>26</v>
      </c>
      <c r="C249" s="25" t="n">
        <v>401</v>
      </c>
      <c r="D249" s="26" t="s">
        <v>52</v>
      </c>
      <c r="E249" s="27" t="s">
        <v>19</v>
      </c>
      <c r="F249" s="28" t="s">
        <v>20</v>
      </c>
      <c r="G249" s="29" t="s">
        <v>89</v>
      </c>
      <c r="H249" s="30" t="n">
        <v>1.6</v>
      </c>
      <c r="I249" s="31" t="s">
        <v>22</v>
      </c>
      <c r="J249" s="32" t="n">
        <v>45900</v>
      </c>
      <c r="K249" s="33"/>
      <c r="L249" s="33" t="n">
        <v>1732</v>
      </c>
      <c r="M249" s="33" t="n">
        <v>758</v>
      </c>
      <c r="N249" s="33"/>
      <c r="O249" s="33"/>
      <c r="P249" s="33"/>
      <c r="Q249" s="33" t="n">
        <v>714</v>
      </c>
      <c r="R249" s="33" t="n">
        <v>2030</v>
      </c>
      <c r="S249" s="33"/>
      <c r="T249" s="33" t="n">
        <v>2022</v>
      </c>
      <c r="U249" s="33" t="n">
        <v>503</v>
      </c>
      <c r="V249" s="33"/>
      <c r="W249" s="33"/>
      <c r="X249" s="33" t="n">
        <v>1934</v>
      </c>
      <c r="Y249" s="33" t="n">
        <v>1690</v>
      </c>
      <c r="Z249" s="33"/>
      <c r="AA249" s="34" t="n">
        <f aca="false">SUM(K249:Z249)</f>
        <v>11383</v>
      </c>
      <c r="AB249" s="35" t="n">
        <f aca="false">SUM(AA249/H249)</f>
        <v>7114.375</v>
      </c>
      <c r="AC249" s="36" t="n">
        <f aca="false">AB249/$AB$2</f>
        <v>474.291666666667</v>
      </c>
    </row>
    <row r="250" customFormat="false" ht="19.5" hidden="false" customHeight="true" outlineLevel="0" collapsed="false">
      <c r="A250" s="49" t="s">
        <v>77</v>
      </c>
      <c r="B250" s="71" t="s">
        <v>103</v>
      </c>
      <c r="C250" s="25" t="n">
        <v>406</v>
      </c>
      <c r="D250" s="26" t="s">
        <v>196</v>
      </c>
      <c r="E250" s="27" t="s">
        <v>86</v>
      </c>
      <c r="F250" s="28" t="s">
        <v>87</v>
      </c>
      <c r="G250" s="29" t="s">
        <v>135</v>
      </c>
      <c r="H250" s="30" t="n">
        <v>1.7</v>
      </c>
      <c r="I250" s="31" t="s">
        <v>22</v>
      </c>
      <c r="J250" s="32" t="n">
        <v>45940</v>
      </c>
      <c r="K250" s="33"/>
      <c r="L250" s="33" t="n">
        <v>513</v>
      </c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 t="n">
        <v>2785</v>
      </c>
      <c r="X250" s="33"/>
      <c r="Y250" s="33"/>
      <c r="Z250" s="33"/>
      <c r="AA250" s="34" t="n">
        <f aca="false">SUM(K250:Z250)</f>
        <v>3298</v>
      </c>
      <c r="AB250" s="35" t="n">
        <f aca="false">SUM(AA250/H250)</f>
        <v>1940</v>
      </c>
      <c r="AC250" s="36" t="n">
        <f aca="false">AB250/$AB$2</f>
        <v>129.333333333333</v>
      </c>
    </row>
    <row r="251" customFormat="false" ht="19.5" hidden="false" customHeight="true" outlineLevel="0" collapsed="false">
      <c r="A251" s="49" t="s">
        <v>77</v>
      </c>
      <c r="B251" s="71" t="s">
        <v>103</v>
      </c>
      <c r="C251" s="25" t="n">
        <v>406</v>
      </c>
      <c r="D251" s="26" t="s">
        <v>196</v>
      </c>
      <c r="E251" s="27" t="s">
        <v>100</v>
      </c>
      <c r="F251" s="28" t="s">
        <v>87</v>
      </c>
      <c r="G251" s="29" t="n">
        <v>21</v>
      </c>
      <c r="H251" s="30" t="n">
        <v>0.2</v>
      </c>
      <c r="I251" s="31" t="s">
        <v>22</v>
      </c>
      <c r="J251" s="32" t="n">
        <v>45940</v>
      </c>
      <c r="K251" s="33"/>
      <c r="L251" s="33" t="n">
        <v>1365</v>
      </c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4" t="n">
        <f aca="false">SUM(K251:Z251)</f>
        <v>1365</v>
      </c>
      <c r="AB251" s="35" t="n">
        <f aca="false">SUM(AA251/H251)</f>
        <v>6825</v>
      </c>
      <c r="AC251" s="36" t="n">
        <f aca="false">AB251/$AB$2</f>
        <v>455</v>
      </c>
    </row>
    <row r="252" customFormat="false" ht="19.5" hidden="true" customHeight="true" outlineLevel="0" collapsed="false">
      <c r="A252" s="46" t="s">
        <v>60</v>
      </c>
      <c r="B252" s="71" t="s">
        <v>66</v>
      </c>
      <c r="C252" s="25" t="n">
        <v>403</v>
      </c>
      <c r="D252" s="26" t="s">
        <v>178</v>
      </c>
      <c r="E252" s="27" t="s">
        <v>153</v>
      </c>
      <c r="F252" s="28" t="s">
        <v>69</v>
      </c>
      <c r="G252" s="29" t="n">
        <v>2</v>
      </c>
      <c r="H252" s="30" t="n">
        <v>0.5</v>
      </c>
      <c r="I252" s="31" t="s">
        <v>22</v>
      </c>
      <c r="J252" s="32" t="n">
        <v>45890</v>
      </c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4" t="n">
        <f aca="false">SUM(K252:Z252)</f>
        <v>0</v>
      </c>
      <c r="AB252" s="35" t="n">
        <f aca="false">SUM(AA252/H252)</f>
        <v>0</v>
      </c>
      <c r="AC252" s="36" t="n">
        <f aca="false">AB252/$AB$2</f>
        <v>0</v>
      </c>
    </row>
    <row r="253" s="77" customFormat="true" ht="16.5" hidden="false" customHeight="true" outlineLevel="0" collapsed="false">
      <c r="A253" s="72"/>
      <c r="B253" s="49"/>
      <c r="C253" s="72"/>
      <c r="D253" s="73"/>
      <c r="E253" s="73"/>
      <c r="F253" s="73"/>
      <c r="G253" s="74"/>
      <c r="H253" s="73"/>
      <c r="I253" s="75" t="s">
        <v>197</v>
      </c>
      <c r="J253" s="75"/>
      <c r="K253" s="76" t="n">
        <f aca="false">SUM(K5:K252)</f>
        <v>234457</v>
      </c>
      <c r="L253" s="76" t="n">
        <f aca="false">SUM(L5:L252)</f>
        <v>227660</v>
      </c>
      <c r="M253" s="76" t="n">
        <f aca="false">SUM(M5:M252)</f>
        <v>174126</v>
      </c>
      <c r="N253" s="76" t="n">
        <f aca="false">SUM(N5:N252)</f>
        <v>203657</v>
      </c>
      <c r="O253" s="76" t="n">
        <f aca="false">SUM(O5:O252)</f>
        <v>200115</v>
      </c>
      <c r="P253" s="76" t="n">
        <f aca="false">SUM(P5:P252)</f>
        <v>186093</v>
      </c>
      <c r="Q253" s="76" t="n">
        <f aca="false">SUM(Q5:Q252)</f>
        <v>210230</v>
      </c>
      <c r="R253" s="76" t="n">
        <f aca="false">SUM(R5:R252)</f>
        <v>182596</v>
      </c>
      <c r="S253" s="76" t="n">
        <f aca="false">SUM(S5:S252)</f>
        <v>210321</v>
      </c>
      <c r="T253" s="76" t="n">
        <f aca="false">SUM(T5:T252)</f>
        <v>145736</v>
      </c>
      <c r="U253" s="76" t="n">
        <f aca="false">SUM(U5:U252)</f>
        <v>257255</v>
      </c>
      <c r="V253" s="76" t="n">
        <f aca="false">SUM(V5:V252)</f>
        <v>222485</v>
      </c>
      <c r="W253" s="76" t="n">
        <f aca="false">SUM(W5:W252)</f>
        <v>214989</v>
      </c>
      <c r="X253" s="76" t="n">
        <f aca="false">SUM(X5:X252)</f>
        <v>235563</v>
      </c>
      <c r="Y253" s="76" t="n">
        <f aca="false">SUM(Y5:Y252)</f>
        <v>251086</v>
      </c>
      <c r="Z253" s="76" t="n">
        <f aca="false">SUM(Z5:Z252)</f>
        <v>0</v>
      </c>
      <c r="AA253" s="34" t="n">
        <f aca="false">SUM(K253:Z253)</f>
        <v>3156369</v>
      </c>
      <c r="AB253" s="76"/>
      <c r="AC253" s="76"/>
      <c r="AD253" s="72"/>
    </row>
    <row r="254" customFormat="false" ht="15.75" hidden="false" customHeight="true" outlineLevel="0" collapsed="false">
      <c r="B254" s="49"/>
      <c r="T254" s="76"/>
    </row>
    <row r="268" customFormat="false" ht="15.75" hidden="false" customHeight="false" outlineLevel="0" collapsed="false">
      <c r="G268" s="78"/>
    </row>
  </sheetData>
  <autoFilter ref="A4:AC253">
    <filterColumn colId="26">
      <filters>
        <filter val="1 008"/>
        <filter val="1 042"/>
        <filter val="1 365"/>
        <filter val="10 108"/>
        <filter val="10 322"/>
        <filter val="10 524"/>
        <filter val="10 687"/>
        <filter val="10 831"/>
        <filter val="10 860"/>
        <filter val="10 941"/>
        <filter val="10 988"/>
        <filter val="11 383"/>
        <filter val="11 650"/>
        <filter val="11 780"/>
        <filter val="11 837"/>
        <filter val="11 859"/>
        <filter val="12 014"/>
        <filter val="12 052"/>
        <filter val="12 199"/>
        <filter val="12 715"/>
        <filter val="12 720"/>
        <filter val="12 931"/>
        <filter val="12 941"/>
        <filter val="12 958"/>
        <filter val="13 069"/>
        <filter val="13 164"/>
        <filter val="13 246"/>
        <filter val="13 258"/>
        <filter val="13 310"/>
        <filter val="13 311"/>
        <filter val="13 342"/>
        <filter val="13 749"/>
        <filter val="13 752"/>
        <filter val="13 753"/>
        <filter val="13 764"/>
        <filter val="14 214"/>
        <filter val="14 490"/>
        <filter val="14 545"/>
        <filter val="14 575"/>
        <filter val="14 990"/>
        <filter val="15 056"/>
        <filter val="15 082"/>
        <filter val="15 376"/>
        <filter val="15 548"/>
        <filter val="15 599"/>
        <filter val="15 759"/>
        <filter val="16 522"/>
        <filter val="16 646"/>
        <filter val="16 917"/>
        <filter val="17 267"/>
        <filter val="17 288"/>
        <filter val="17 337"/>
        <filter val="17 375"/>
        <filter val="17 438"/>
        <filter val="17 496"/>
        <filter val="17 506"/>
        <filter val="17 526"/>
        <filter val="17 647"/>
        <filter val="17 672"/>
        <filter val="18 088"/>
        <filter val="18 164"/>
        <filter val="18 188"/>
        <filter val="18 239"/>
        <filter val="18 313"/>
        <filter val="18 361"/>
        <filter val="18 421"/>
        <filter val="18 710"/>
        <filter val="19 320"/>
        <filter val="19 423"/>
        <filter val="19 612"/>
        <filter val="19 703"/>
        <filter val="199"/>
        <filter val="2 196"/>
        <filter val="2 227"/>
        <filter val="2 303"/>
        <filter val="2 405"/>
        <filter val="2 837"/>
        <filter val="2 965"/>
        <filter val="20 083"/>
        <filter val="20 624"/>
        <filter val="20 701"/>
        <filter val="20 707"/>
        <filter val="20 734"/>
        <filter val="20 852"/>
        <filter val="20 871"/>
        <filter val="20 934"/>
        <filter val="21 254"/>
        <filter val="22 065"/>
        <filter val="22 280"/>
        <filter val="22 356"/>
        <filter val="22 876"/>
        <filter val="23 032"/>
        <filter val="23 363"/>
        <filter val="24 000"/>
        <filter val="24 784"/>
        <filter val="25 182"/>
        <filter val="25 414"/>
        <filter val="25 578"/>
        <filter val="27 032"/>
        <filter val="27 286"/>
        <filter val="27 387"/>
        <filter val="28 399"/>
        <filter val="3 040"/>
        <filter val="3 089"/>
        <filter val="3 156 369"/>
        <filter val="3 298"/>
        <filter val="3 382"/>
        <filter val="3 436"/>
        <filter val="3 671"/>
        <filter val="30 476"/>
        <filter val="30 769"/>
        <filter val="32 223"/>
        <filter val="32 286"/>
        <filter val="32 475"/>
        <filter val="33 274"/>
        <filter val="339"/>
        <filter val="34 509"/>
        <filter val="34 512"/>
        <filter val="34 727"/>
        <filter val="35 294"/>
        <filter val="35 460"/>
        <filter val="36 322"/>
        <filter val="37 632"/>
        <filter val="37 834"/>
        <filter val="39 573"/>
        <filter val="394"/>
        <filter val="4 094"/>
        <filter val="4 115"/>
        <filter val="4 173"/>
        <filter val="4 231"/>
        <filter val="4 480"/>
        <filter val="4 536"/>
        <filter val="4 699"/>
        <filter val="4 705"/>
        <filter val="4 807"/>
        <filter val="41 618"/>
        <filter val="42 707"/>
        <filter val="43 591"/>
        <filter val="430"/>
        <filter val="45 675"/>
        <filter val="47 747"/>
        <filter val="5 009"/>
        <filter val="5 064"/>
        <filter val="5 077"/>
        <filter val="5 110"/>
        <filter val="5 139"/>
        <filter val="5 409"/>
        <filter val="5 705"/>
        <filter val="5 766"/>
        <filter val="5 809"/>
        <filter val="50 833"/>
        <filter val="51 003"/>
        <filter val="51 933"/>
        <filter val="57 605"/>
        <filter val="59 957"/>
        <filter val="6 023"/>
        <filter val="6 180"/>
        <filter val="6 235"/>
        <filter val="6 449"/>
        <filter val="6 622"/>
        <filter val="6 699"/>
        <filter val="6 816"/>
        <filter val="6 823"/>
        <filter val="6 848"/>
        <filter val="60 563"/>
        <filter val="66 095"/>
        <filter val="7 032"/>
        <filter val="7 196"/>
        <filter val="7 206"/>
        <filter val="7 538"/>
        <filter val="7 684"/>
        <filter val="7 719"/>
        <filter val="7 738"/>
        <filter val="7 863"/>
        <filter val="7 956"/>
        <filter val="8 093"/>
        <filter val="8 181"/>
        <filter val="8 286"/>
        <filter val="8 578"/>
        <filter val="8 607"/>
        <filter val="8 685"/>
        <filter val="8 687"/>
        <filter val="8 833"/>
        <filter val="8 846"/>
        <filter val="8 929"/>
        <filter val="9 146"/>
        <filter val="9 282"/>
        <filter val="9 306"/>
        <filter val="9 393"/>
        <filter val="9 579"/>
        <filter val="9 689"/>
        <filter val="9 721"/>
        <filter val="9 800"/>
        <filter val="9 851"/>
        <filter val="9 886"/>
        <filter val="9 912"/>
        <filter val="9 980"/>
      </filters>
    </filterColumn>
  </autoFilter>
  <mergeCells count="2">
    <mergeCell ref="D2:J2"/>
    <mergeCell ref="I253:J25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2024-08-04T08:53:52Z</dcterms:created>
  <dc:creator>hp</dc:creator>
  <dc:description/>
  <dc:language>en-US</dc:language>
  <cp:lastModifiedBy/>
  <cp:lastPrinted>2025-04-11T12:29:15Z</cp:lastPrinted>
  <dcterms:modified xsi:type="dcterms:W3CDTF">2026-05-02T15:58:04Z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